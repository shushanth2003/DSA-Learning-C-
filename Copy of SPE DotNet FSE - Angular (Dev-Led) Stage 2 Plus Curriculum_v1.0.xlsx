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cognizantonline-my.sharepoint.com/personal/2463695_cognizant_com/Documents/.net FSE Angular/"/>
    </mc:Choice>
  </mc:AlternateContent>
  <xr:revisionPtr revIDLastSave="10" documentId="8_{E2D320FC-AA20-480B-8082-339840BFC323}" xr6:coauthVersionLast="47" xr6:coauthVersionMax="47" xr10:uidLastSave="{A5ACAF0B-B5EF-4BC4-8831-54F1F654CBCA}"/>
  <bookViews>
    <workbookView xWindow="-110" yWindow="-110" windowWidth="19420" windowHeight="11500" tabRatio="862" firstSheet="6" activeTab="8" xr2:uid="{00000000-000D-0000-FFFF-FFFF00000000}"/>
  </bookViews>
  <sheets>
    <sheet name="About the Curriculum" sheetId="1" r:id="rId1"/>
    <sheet name="Module List" sheetId="9" r:id="rId2"/>
    <sheet name="Dev-Led View" sheetId="12" r:id="rId3"/>
    <sheet name="Skill Framework" sheetId="2" state="hidden" r:id="rId4"/>
    <sheet name="Performance Outcomes" sheetId="3" r:id="rId5"/>
    <sheet name="Sprint 1 - Tech Scope" sheetId="13" r:id="rId6"/>
    <sheet name="Sprint 2 - Tech Scope" sheetId="14" r:id="rId7"/>
    <sheet name="Sprint 3 - Tech Scope" sheetId="15" r:id="rId8"/>
    <sheet name="Sprint 4 - Tech Scope" sheetId="16" r:id="rId9"/>
    <sheet name="Sprint 5 - Tech Scope" sheetId="17" r:id="rId10"/>
    <sheet name="BH Training - Scope" sheetId="10" r:id="rId11"/>
    <sheet name="AI Accelerate - Coverage" sheetId="11" r:id="rId12"/>
    <sheet name="GitHub Copilot - Coverage" sheetId="18" r:id="rId13"/>
  </sheets>
  <definedNames>
    <definedName name="_xlnm._FilterDatabase" localSheetId="1" hidden="1">'Module List'!$A$1:$J$1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2" i="9" l="1"/>
  <c r="J33" i="9"/>
  <c r="J34" i="9"/>
  <c r="I32" i="9"/>
  <c r="I33" i="9"/>
  <c r="I34" i="9"/>
  <c r="F34" i="9"/>
  <c r="F33" i="9"/>
  <c r="F32" i="9"/>
  <c r="F17" i="9"/>
  <c r="I25" i="9"/>
  <c r="J25" i="9" s="1"/>
  <c r="I31" i="9" l="1"/>
  <c r="J31" i="9" s="1"/>
  <c r="I27" i="9"/>
  <c r="J27" i="9" s="1"/>
  <c r="I21" i="9"/>
  <c r="J21" i="9" s="1"/>
  <c r="I15" i="9"/>
  <c r="J15" i="9" s="1"/>
  <c r="I14" i="9"/>
  <c r="J14" i="9" s="1"/>
  <c r="I7" i="9"/>
  <c r="J7" i="9" s="1"/>
  <c r="I2" i="9"/>
  <c r="J2" i="9" s="1"/>
  <c r="F35" i="9"/>
  <c r="F31" i="9"/>
  <c r="F30" i="9"/>
  <c r="F29" i="9"/>
  <c r="F4" i="9"/>
  <c r="F5" i="9"/>
  <c r="F6" i="9"/>
  <c r="F7" i="9"/>
  <c r="F8" i="9"/>
  <c r="F9" i="9"/>
  <c r="F10" i="9"/>
  <c r="F11" i="9"/>
  <c r="F12" i="9"/>
  <c r="F13" i="9"/>
  <c r="F14" i="9"/>
  <c r="F15" i="9"/>
  <c r="F16" i="9"/>
  <c r="F18" i="9"/>
  <c r="F19" i="9"/>
  <c r="F20" i="9"/>
  <c r="F21" i="9"/>
  <c r="F22" i="9"/>
  <c r="F23" i="9"/>
  <c r="F24" i="9"/>
  <c r="F3" i="9"/>
  <c r="F25" i="9"/>
  <c r="F26" i="9"/>
  <c r="F27" i="9"/>
  <c r="F2" i="9"/>
  <c r="I30" i="9" l="1"/>
  <c r="J30" i="9" s="1"/>
  <c r="I35" i="9" l="1"/>
  <c r="J35" i="9" s="1"/>
  <c r="J29" i="9"/>
  <c r="I36" i="9" l="1"/>
  <c r="J36" i="9" s="1"/>
</calcChain>
</file>

<file path=xl/sharedStrings.xml><?xml version="1.0" encoding="utf-8"?>
<sst xmlns="http://schemas.openxmlformats.org/spreadsheetml/2006/main" count="681" uniqueCount="546">
  <si>
    <t>SPE DotNet FSE - Angular (Dev-Led) Stage 2 Plus Curriculum</t>
  </si>
  <si>
    <t>1. Name of the track</t>
  </si>
  <si>
    <t>DotNet FSE - Angular, IDE DotNet FSE - Angular</t>
  </si>
  <si>
    <t xml:space="preserve">2. Category (Technical/Domain/Behavioral): </t>
  </si>
  <si>
    <t>Technical + Behavioral</t>
  </si>
  <si>
    <t xml:space="preserve">3.  Outcome Expected </t>
  </si>
  <si>
    <t>Delivery Readiness according to Performance Outcomes detailed in this file (Refer "Performance Outcomes" sheet)</t>
  </si>
  <si>
    <t xml:space="preserve">5. Who is the target audience? </t>
  </si>
  <si>
    <t>Interns/GenCs tagged to FSE DotNet - Angular/IDE DotNet FSE - Angular track</t>
  </si>
  <si>
    <t>6. What is the gating criteria?</t>
  </si>
  <si>
    <r>
      <t xml:space="preserve">To be eligible for deployment to the business, a candidate must achieve a </t>
    </r>
    <r>
      <rPr>
        <b/>
        <sz val="11"/>
        <color rgb="FF000000"/>
        <rFont val="Calibri"/>
        <family val="2"/>
        <scheme val="minor"/>
      </rPr>
      <t>Performance Health Status (PHS) of Green in the Final Evaluation</t>
    </r>
    <r>
      <rPr>
        <sz val="11"/>
        <color rgb="FF000000"/>
        <rFont val="Calibri"/>
        <family val="2"/>
        <scheme val="minor"/>
      </rPr>
      <t xml:space="preserve"> AND obtain a </t>
    </r>
    <r>
      <rPr>
        <b/>
        <sz val="11"/>
        <color rgb="FF000000"/>
        <rFont val="Calibri"/>
        <family val="2"/>
        <scheme val="minor"/>
      </rPr>
      <t>minimum score of 70% in the Final HackerRank Assessment</t>
    </r>
    <r>
      <rPr>
        <sz val="11"/>
        <color rgb="FF000000"/>
        <rFont val="Calibri"/>
        <family val="2"/>
        <scheme val="minor"/>
      </rPr>
      <t>.</t>
    </r>
  </si>
  <si>
    <t>Agile Sprints</t>
  </si>
  <si>
    <t>Course Categories</t>
  </si>
  <si>
    <t>Courses/Modules</t>
  </si>
  <si>
    <t>Delivery Mode</t>
  </si>
  <si>
    <t xml:space="preserve">Baseline Duration ( Hrs. ) </t>
  </si>
  <si>
    <t>No of days</t>
  </si>
  <si>
    <t>Enablement Assured Level</t>
  </si>
  <si>
    <t>Assessment Assured Level</t>
  </si>
  <si>
    <t>Sprint wise -Total Duration (Hrs.)</t>
  </si>
  <si>
    <t>Sprint wise -Total Duration (Wks)</t>
  </si>
  <si>
    <t>Sprint 0 &amp; 1</t>
  </si>
  <si>
    <t>Project Management Frameork</t>
  </si>
  <si>
    <t>Agile Fundamentals</t>
  </si>
  <si>
    <t>Blended Learning</t>
  </si>
  <si>
    <t>Knowledge</t>
  </si>
  <si>
    <t>Version Control System</t>
  </si>
  <si>
    <t>GIT Basics</t>
  </si>
  <si>
    <t>Blended Learning, Hands-On</t>
  </si>
  <si>
    <t>Skill</t>
  </si>
  <si>
    <t>Advanced UI Development</t>
  </si>
  <si>
    <t>Angular (v19)</t>
  </si>
  <si>
    <t xml:space="preserve">Application Debugging - Front-end </t>
  </si>
  <si>
    <t>GenAI Learning</t>
  </si>
  <si>
    <t>GENERATIVE AI GUIDE: DALL-E, CHATGPT, AND CREATIVITY WITH AI</t>
  </si>
  <si>
    <t>E-Learning (Udemy)</t>
  </si>
  <si>
    <t>Sprint 2</t>
  </si>
  <si>
    <t>Backend Development Basics</t>
  </si>
  <si>
    <t>.NET 8 and C# 12</t>
  </si>
  <si>
    <t>SOLID Principles</t>
  </si>
  <si>
    <t>Advanced SQL Using SQL Server</t>
  </si>
  <si>
    <t>Entity Framework Core 8.0, Dapper</t>
  </si>
  <si>
    <t>ASP.Net Core 8.0</t>
  </si>
  <si>
    <t>Gen AI Course</t>
  </si>
  <si>
    <t>ChatGPT</t>
  </si>
  <si>
    <t>ChatGPT Masterclass - The Ultimate Guide</t>
  </si>
  <si>
    <t>Evaluation</t>
  </si>
  <si>
    <t>Interim Evaluation</t>
  </si>
  <si>
    <t>BU SME Evaluation (Project+Technical)</t>
  </si>
  <si>
    <t>Video Interview</t>
  </si>
  <si>
    <t>Sprint 3</t>
  </si>
  <si>
    <t>RESTful Services and Microservices</t>
  </si>
  <si>
    <t>ASP.NET Core 8.0 Web API</t>
  </si>
  <si>
    <t>Microservices Architecture</t>
  </si>
  <si>
    <t>Microservices Implementation</t>
  </si>
  <si>
    <t>Hands-On</t>
  </si>
  <si>
    <t>Application Debugging - Backend</t>
  </si>
  <si>
    <t>Neural Networks</t>
  </si>
  <si>
    <t>The Complete Neural Networks Bootcamp: Theory, Applications</t>
  </si>
  <si>
    <t>LLM</t>
  </si>
  <si>
    <t>LLMs Mastery: Complete Guide to Transformers &amp; Generative AI</t>
  </si>
  <si>
    <t>Sprint 4</t>
  </si>
  <si>
    <t>Logging and Continuous Code Quality</t>
  </si>
  <si>
    <t>NUnit, Moq</t>
  </si>
  <si>
    <t>Code Quality Standards</t>
  </si>
  <si>
    <t>Code Analysis &amp; Logging</t>
  </si>
  <si>
    <t>LangChain</t>
  </si>
  <si>
    <t>LangChain- Develop LLM powered applications with LangChain</t>
  </si>
  <si>
    <t>Sprint 5</t>
  </si>
  <si>
    <t>Containerization</t>
  </si>
  <si>
    <t>Docker Basics</t>
  </si>
  <si>
    <t>Cloud and DevOps</t>
  </si>
  <si>
    <t>Cloud and DevOps Basics using Azure</t>
  </si>
  <si>
    <t>Final Evaluation</t>
  </si>
  <si>
    <t>Final Assessment</t>
  </si>
  <si>
    <t>HackerRank Prep &amp; Assessment</t>
  </si>
  <si>
    <t>Online Test</t>
  </si>
  <si>
    <t>All Sprints</t>
  </si>
  <si>
    <t>Behavioral Training</t>
  </si>
  <si>
    <t>Behavioral Sessions</t>
  </si>
  <si>
    <t>ILT/VILT</t>
  </si>
  <si>
    <t>Gen AI Learning</t>
  </si>
  <si>
    <t>AI Accelerate</t>
  </si>
  <si>
    <t>E-Learning</t>
  </si>
  <si>
    <t>Cognizant Gen AI Platform</t>
  </si>
  <si>
    <t>Cognizant Flowsource 101 foundation program [101-BASICS] (ELRNG02089)</t>
  </si>
  <si>
    <t>Gen AI - Code Companion Tools</t>
  </si>
  <si>
    <t>GitHub Copilot</t>
  </si>
  <si>
    <t>Self-Learning</t>
  </si>
  <si>
    <t>Cohort Mentoring</t>
  </si>
  <si>
    <t>Cohort Mentor Sessions</t>
  </si>
  <si>
    <t>Total Track Duration (Hrs.)</t>
  </si>
  <si>
    <t>Secure Coding - Mandatory Learning</t>
  </si>
  <si>
    <t>NA</t>
  </si>
  <si>
    <t>Mandatory Learning (Clearn)</t>
  </si>
  <si>
    <t>Foundations of .NET Platform Security (CTKNT494)</t>
  </si>
  <si>
    <t>Building Security Into ASP.NET (CTKNT493)</t>
  </si>
  <si>
    <t>Week</t>
  </si>
  <si>
    <t>Sprint</t>
  </si>
  <si>
    <t>Duration</t>
  </si>
  <si>
    <t>Skills</t>
  </si>
  <si>
    <t>FSE Aspect</t>
  </si>
  <si>
    <t>Deliverables</t>
  </si>
  <si>
    <t>Agile Ceremonies</t>
  </si>
  <si>
    <t>Software Tools/APIs</t>
  </si>
  <si>
    <t>Week 1-4</t>
  </si>
  <si>
    <t>Sprint 0 - Project Environment Setup</t>
  </si>
  <si>
    <t>0.4 Weeks (2 days)</t>
  </si>
  <si>
    <t>Agile (1 day)
GIT (1 day)</t>
  </si>
  <si>
    <t>Cross-functional Skills and Code Management</t>
  </si>
  <si>
    <t>• Setup a project source code repository and add PoD members</t>
  </si>
  <si>
    <t>• JIRA (Free version)
• GIT</t>
  </si>
  <si>
    <t>Sprint 1 - Advanced UI Development</t>
  </si>
  <si>
    <t>3.6 weeks (18 days)</t>
  </si>
  <si>
    <t>Angular (v19) (16 days)
Application Debugging - Front-end (2 days)</t>
  </si>
  <si>
    <t>Advanced Frontend Development</t>
  </si>
  <si>
    <t>• Development of Angular components for various domain-specific functionalities.
• Integration of services for efficient data management.
• Debugging and resolving frontend issues.
• Creation of a responsive and dynamic user interface for the management system.</t>
  </si>
  <si>
    <t>• Sprint Planning: 1 hour (Day 1 of Week 1)
• Daily Stand-ups: 15 minutes each (Days 2-5 of each week)
• Sprint Review and Retrospective: 1 hour (Day 5 of Week 4)</t>
  </si>
  <si>
    <t>• Visual Studio Code
• Angular CLI
• Chrome Developer Tools</t>
  </si>
  <si>
    <t>Week 5-6</t>
  </si>
  <si>
    <t>Sprint 2 - Backend Development Basics</t>
  </si>
  <si>
    <t>2.6 weeks (13 days)</t>
  </si>
  <si>
    <t>.NET 8 and C# 12 (1 day)
SOLID Principles (1 day)
Advanced SQL Using SQL Server (2 days)
Entity Framework Core 8.0, Dapper (4 days)
ASP.Net Core 8.0 (5 days)</t>
  </si>
  <si>
    <t>Backend Development</t>
  </si>
  <si>
    <t>• Initialize and configure a new ASP.NET Core project, including necessary dependencies and project structure.
• Define domain models and implement repository patterns using C# classes to manage data access and business logic.
• Develop Create, Read, Update, and Delete functionalities to manage domain entities effectively.
• Utilize EF Core to map domain models to database tables, enabling seamless data persistence and retrieval.</t>
  </si>
  <si>
    <t>• Sprint Planning: 1 hour (Day 1 of Week 5)
• Daily Stand-ups: 15 minutes each (Days 2-5 of each week)
• Sprint Review and Retrospective: 1 hour (Day 5 of Week 6)</t>
  </si>
  <si>
    <t>• Visual Studio IDE 2022 Community
• .NET Core SDK 8
• NuGet Package Manager
• SQL Server Express 2019
• EF Core 8</t>
  </si>
  <si>
    <t>Week 6</t>
  </si>
  <si>
    <t>0.2 Week (1 day)</t>
  </si>
  <si>
    <t>Practical project, code review, and a technical interview</t>
  </si>
  <si>
    <t>Week 7-10</t>
  </si>
  <si>
    <t>Sprint 3 - RESTful Services and Microservices</t>
  </si>
  <si>
    <t>4 weeks (20 days)</t>
  </si>
  <si>
    <t>ASP.NET Core 8.0 Web API (4.56 days)
Microservices Architecture (3 days) 
Application Debugging - Backend (0.56 days)</t>
  </si>
  <si>
    <t>Microservices and RESTful Services</t>
  </si>
  <si>
    <t>• Development of RESTful APIs for domain-specific management (CRUD operations).
• Design of a microservices architecture for various modules.
• Implementation of inter-service communication.
• Debugging and resolving backend issues.</t>
  </si>
  <si>
    <t>• Sprint Planning: 1 hour (Day 1 of Week 7)
• Daily Stand-ups: 15 minutes each (Days 2-5 of each week)
• Sprint Review and Retrospective: 1 hour (Day 5 of Week 10)</t>
  </si>
  <si>
    <t>• Visual Studio IDE 2022 Community
• .NET Core SDK 8
• Postman
• Swagger</t>
  </si>
  <si>
    <t>Week 11</t>
  </si>
  <si>
    <t>Sprint 4 - Unit Testing and Code Quality</t>
  </si>
  <si>
    <t>0.7 week (3.5 days)</t>
  </si>
  <si>
    <t>NUnit, Moq (2 days)
Code Quality Standards (0.56 day)
Code Analysis &amp; Logging (1 day)</t>
  </si>
  <si>
    <t>Software Engineering Practices</t>
  </si>
  <si>
    <t>• Writing unit tests using NUnit and Moq.
• Implementing logging using .NET Core.
• Implement best practices.</t>
  </si>
  <si>
    <t>• Sprint Planning: 1 hour (Day 1 of Week 11)
• Daily Stand-ups: 15 minutes each (Days 2-5)
• Sprint Review and Retrospective: 1 hour (Day 5)</t>
  </si>
  <si>
    <t>• Visual Studio IDE 2022 Community
• NUnit
• Moq</t>
  </si>
  <si>
    <t>Week 12</t>
  </si>
  <si>
    <t>Sprint 5 - DevOps and Cloud Basics</t>
  </si>
  <si>
    <t>0.9 week (4 days)</t>
  </si>
  <si>
    <t>Docker Basics (1 day)
Cloud and DevOps Basics using Azure (3 days)</t>
  </si>
  <si>
    <t>DevOps and Cloud</t>
  </si>
  <si>
    <t>• Dockerizing the management system.
• Deploying the application on Microsoft Azure.
• Basic CI/CD pipeline setup.</t>
  </si>
  <si>
    <t>• Sprint Planning: 1 hour (Day 1 of Week 12)
• Daily Stand-ups: 15 minutes each (Days 2-5)
• Sprint Review and Retrospective: 1 hour (Day 5)</t>
  </si>
  <si>
    <t>• Docker
• Microsoft Azure</t>
  </si>
  <si>
    <t>Week 13</t>
  </si>
  <si>
    <t>0.6 week (3 days)</t>
  </si>
  <si>
    <t>Capstone project presentation, code review, and a comprehensive technical interview</t>
  </si>
  <si>
    <t>Technology Layer</t>
  </si>
  <si>
    <t>Technology Category</t>
  </si>
  <si>
    <t>Proficiency</t>
  </si>
  <si>
    <t>Stage 1</t>
  </si>
  <si>
    <t>Stage 2</t>
  </si>
  <si>
    <t>Stage 3</t>
  </si>
  <si>
    <t>Stage 4</t>
  </si>
  <si>
    <t>Programming Language</t>
  </si>
  <si>
    <t>PL1 - Learner</t>
  </si>
  <si>
    <t>C#</t>
  </si>
  <si>
    <t>Scripting Language</t>
  </si>
  <si>
    <t>JavaScript</t>
  </si>
  <si>
    <t>jQuery</t>
  </si>
  <si>
    <t>Presentation Layer</t>
  </si>
  <si>
    <t>Basic UI/Markup</t>
  </si>
  <si>
    <t>HTML5</t>
  </si>
  <si>
    <t>CSS3</t>
  </si>
  <si>
    <t>Responsive Web Design</t>
  </si>
  <si>
    <t>Bootstrap4</t>
  </si>
  <si>
    <t>Web Frameworks</t>
  </si>
  <si>
    <t>Angular/React</t>
  </si>
  <si>
    <t>Middleware</t>
  </si>
  <si>
    <t>Business Tier</t>
  </si>
  <si>
    <t>ASP .Net Core</t>
  </si>
  <si>
    <t>Persistence Tier</t>
  </si>
  <si>
    <t>ADO.Net</t>
  </si>
  <si>
    <t>Entity Framework, Dapper</t>
  </si>
  <si>
    <t>Integration Tier</t>
  </si>
  <si>
    <t>ASP.NET Core Web API</t>
  </si>
  <si>
    <t>Data Layer</t>
  </si>
  <si>
    <t>Query Languages</t>
  </si>
  <si>
    <t xml:space="preserve">ANSI SQL </t>
  </si>
  <si>
    <t>RDBMS/No-SQL</t>
  </si>
  <si>
    <t>MS SQL Server</t>
  </si>
  <si>
    <t>Ancillary Layer</t>
  </si>
  <si>
    <t>Common Utilities</t>
  </si>
  <si>
    <t>Visual Studio IDE</t>
  </si>
  <si>
    <t>Visual Studio Code</t>
  </si>
  <si>
    <t>Visual Studio Code Analysis, Log4Net</t>
  </si>
  <si>
    <t>Platform and OS</t>
  </si>
  <si>
    <t>Windows</t>
  </si>
  <si>
    <t>Unit Testing</t>
  </si>
  <si>
    <t>Servers</t>
  </si>
  <si>
    <t>IIS</t>
  </si>
  <si>
    <t>Data Structures and Algorithms, Design Patterns and Principles</t>
  </si>
  <si>
    <t>Design Principles, Patterns</t>
  </si>
  <si>
    <t>Design Patterns and Principles</t>
  </si>
  <si>
    <t>Data structures and Algorithms</t>
  </si>
  <si>
    <t>Data Structures and Algorithms</t>
  </si>
  <si>
    <t>Tools</t>
  </si>
  <si>
    <t>SCM</t>
  </si>
  <si>
    <t>GIT</t>
  </si>
  <si>
    <t>Docker</t>
  </si>
  <si>
    <t>Sprints</t>
  </si>
  <si>
    <t>Key Performance Outcomes</t>
  </si>
  <si>
    <t>Sprint 0&amp;1</t>
  </si>
  <si>
    <t>• Should be able to understand Agile principles, values, and the key differences from the Waterfall methodology.
• Should be able to understand the roles, ceremonies, and artifacts within the Scrum framework.
• Should be able to participate effectively in Scrum ceremonies and utilize Scrum artifacts in project scenarios.
• Should be able to write clear and effective user stories with well-defined acceptance criteria.
• Understand and utilize GIT for version control, including branching, merging, and resolving conflicts.
• Efficiently collaborate with team members using GIT workflows and repositories.
• Build and maintain Angular applications using core features and best practices.
• Create dynamic and responsive user interfaces with Angular.
• Identify and resolve front-end bugs using debugging tools.
• Enhance the performance and reliability of front-end applications.</t>
  </si>
  <si>
    <t>• Should be able to leverage C# 12 features effectively in software development projects.
• Should be able to apply design patterns effectively.
• Should be able to architect solutions using design principles.
• Should be able to write optimized SQL queries.
• Should be able to design and implement stored procedures for performance.
• Should be able to design and implement data models using EF Core 8.
• Should be able to perform efficient data access using Dapper.
• Should be able to develop robust and scalable web applications using ASP.NET Core.</t>
  </si>
  <si>
    <t>• Should be able to design and implement RESTful APIs using ASP.NET Core Web API.
• Should be able to design and implement microservices-based architectures for scalable and distributed systems.
• Should be able to effectively debug backend applications to identify and resolve issues.</t>
  </si>
  <si>
    <t>• Should be able to write effective unit tests.
• Should be able to create mock objects for testing.
• Should be able to adhere to and implement established code quality standards in software development.
• Should be able to conduct code analysis and implement effective logging strategies.</t>
  </si>
  <si>
    <t>• Should be able to use Docker for containerization and deployment of applications.
• Should be able to deploy and manage applications in cloud environments using basic DevOps practices.</t>
  </si>
  <si>
    <t>Topics</t>
  </si>
  <si>
    <t>Sub-Topics</t>
  </si>
  <si>
    <t>Agile Methodology</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</si>
  <si>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</si>
  <si>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</si>
  <si>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</si>
  <si>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</si>
  <si>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</si>
  <si>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</si>
  <si>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</si>
  <si>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</si>
  <si>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</si>
  <si>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</si>
  <si>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</si>
  <si>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</si>
  <si>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Version Control</t>
  </si>
  <si>
    <t>Understanding Git</t>
  </si>
  <si>
    <r>
      <rPr>
        <b/>
        <sz val="11"/>
        <color rgb="FF000000"/>
        <rFont val="Calibri"/>
        <family val="2"/>
        <scheme val="minor"/>
      </rPr>
      <t>What is Git</t>
    </r>
    <r>
      <rPr>
        <sz val="11"/>
        <color rgb="FF000000"/>
        <rFont val="Calibri"/>
        <family val="2"/>
        <scheme val="minor"/>
      </rPr>
      <t xml:space="preserve">-Introduction to Git, Git as a Distributed Version Control System (DVCS); </t>
    </r>
    <r>
      <rPr>
        <b/>
        <sz val="11"/>
        <color rgb="FF000000"/>
        <rFont val="Calibri"/>
        <family val="2"/>
        <scheme val="minor"/>
      </rPr>
      <t>Git Components</t>
    </r>
    <r>
      <rPr>
        <sz val="11"/>
        <color rgb="FF000000"/>
        <rFont val="Calibri"/>
        <family val="2"/>
        <scheme val="minor"/>
      </rPr>
      <t>-Working Directory, Staging Area, Repository</t>
    </r>
  </si>
  <si>
    <t>Setting Up Git</t>
  </si>
  <si>
    <r>
      <rPr>
        <b/>
        <sz val="11"/>
        <color rgb="FF000000"/>
        <rFont val="Calibri"/>
        <family val="2"/>
        <scheme val="minor"/>
      </rPr>
      <t>Installing Git</t>
    </r>
    <r>
      <rPr>
        <sz val="11"/>
        <color rgb="FF000000"/>
        <rFont val="Calibri"/>
        <family val="2"/>
        <scheme val="minor"/>
      </rPr>
      <t xml:space="preserve">-Download and Installation Steps, Configuring Basic Settings (username, email); </t>
    </r>
    <r>
      <rPr>
        <b/>
        <sz val="11"/>
        <color rgb="FF000000"/>
        <rFont val="Calibri"/>
        <family val="2"/>
        <scheme val="minor"/>
      </rPr>
      <t>Creating a Git Repository</t>
    </r>
    <r>
      <rPr>
        <sz val="11"/>
        <color rgb="FF000000"/>
        <rFont val="Calibri"/>
        <family val="2"/>
        <scheme val="minor"/>
      </rPr>
      <t xml:space="preserve">-Initializing a New Repository, Cloning an Existing Repository; </t>
    </r>
  </si>
  <si>
    <t>Basic Git Commands</t>
  </si>
  <si>
    <r>
      <rPr>
        <b/>
        <sz val="11"/>
        <color rgb="FF000000"/>
        <rFont val="Calibri"/>
        <family val="2"/>
        <scheme val="minor"/>
      </rPr>
      <t xml:space="preserve">git init and git clone </t>
    </r>
    <r>
      <rPr>
        <sz val="11"/>
        <color rgb="FF000000"/>
        <rFont val="Calibri"/>
        <family val="2"/>
        <scheme val="minor"/>
      </rPr>
      <t xml:space="preserve">- Initializing a New Repository, Cloning an Existing Repository; </t>
    </r>
    <r>
      <rPr>
        <b/>
        <sz val="11"/>
        <color rgb="FF000000"/>
        <rFont val="Calibri"/>
        <family val="2"/>
        <scheme val="minor"/>
      </rPr>
      <t>git add</t>
    </r>
    <r>
      <rPr>
        <sz val="11"/>
        <color rgb="FF000000"/>
        <rFont val="Calibri"/>
        <family val="2"/>
        <scheme val="minor"/>
      </rPr>
      <t xml:space="preserve">-Staging Changes, Using Wildcards; </t>
    </r>
    <r>
      <rPr>
        <b/>
        <sz val="11"/>
        <color rgb="FF000000"/>
        <rFont val="Calibri"/>
        <family val="2"/>
        <scheme val="minor"/>
      </rPr>
      <t>git commit</t>
    </r>
    <r>
      <rPr>
        <sz val="11"/>
        <color rgb="FF000000"/>
        <rFont val="Calibri"/>
        <family val="2"/>
        <scheme val="minor"/>
      </rPr>
      <t xml:space="preserve">-Committing Changes, Adding Commit Messages; </t>
    </r>
    <r>
      <rPr>
        <b/>
        <sz val="11"/>
        <color rgb="FF000000"/>
        <rFont val="Calibri"/>
        <family val="2"/>
        <scheme val="minor"/>
      </rPr>
      <t>git status</t>
    </r>
    <r>
      <rPr>
        <sz val="11"/>
        <color rgb="FF000000"/>
        <rFont val="Calibri"/>
        <family val="2"/>
        <scheme val="minor"/>
      </rPr>
      <t xml:space="preserve">-Checking the Status of Your Repository; </t>
    </r>
    <r>
      <rPr>
        <b/>
        <sz val="11"/>
        <color rgb="FF000000"/>
        <rFont val="Calibri"/>
        <family val="2"/>
        <scheme val="minor"/>
      </rPr>
      <t>git log</t>
    </r>
    <r>
      <rPr>
        <sz val="11"/>
        <color rgb="FF000000"/>
        <rFont val="Calibri"/>
        <family val="2"/>
        <scheme val="minor"/>
      </rPr>
      <t>-Viewing Commit History, Options for Customizing Log Output;</t>
    </r>
  </si>
  <si>
    <t>Branching and Merging</t>
  </si>
  <si>
    <r>
      <rPr>
        <b/>
        <sz val="11"/>
        <color rgb="FF000000"/>
        <rFont val="Calibri"/>
        <family val="2"/>
        <scheme val="minor"/>
      </rPr>
      <t>Introduction to Branching</t>
    </r>
    <r>
      <rPr>
        <sz val="11"/>
        <color rgb="FF000000"/>
        <rFont val="Calibri"/>
        <family val="2"/>
        <scheme val="minor"/>
      </rPr>
      <t xml:space="preserve">-Creating and Managing Branches, Switching Between Branches; </t>
    </r>
    <r>
      <rPr>
        <b/>
        <sz val="11"/>
        <color rgb="FF000000"/>
        <rFont val="Calibri"/>
        <family val="2"/>
        <scheme val="minor"/>
      </rPr>
      <t>Merging Changes</t>
    </r>
    <r>
      <rPr>
        <sz val="11"/>
        <color rgb="FF000000"/>
        <rFont val="Calibri"/>
        <family val="2"/>
        <scheme val="minor"/>
      </rPr>
      <t xml:space="preserve">-Merging Branches, Handling Merge Conflicts; </t>
    </r>
    <r>
      <rPr>
        <b/>
        <sz val="11"/>
        <color rgb="FF000000"/>
        <rFont val="Calibri"/>
        <family val="2"/>
        <scheme val="minor"/>
      </rPr>
      <t>Branching Strategies</t>
    </r>
    <r>
      <rPr>
        <sz val="11"/>
        <color rgb="FF000000"/>
        <rFont val="Calibri"/>
        <family val="2"/>
        <scheme val="minor"/>
      </rPr>
      <t>-Feature Branching, Release Branching, Git Flow Workflow;</t>
    </r>
  </si>
  <si>
    <t>Remote Repositories</t>
  </si>
  <si>
    <r>
      <rPr>
        <b/>
        <sz val="11"/>
        <color rgb="FF000000"/>
        <rFont val="Calibri"/>
        <family val="2"/>
        <scheme val="minor"/>
      </rPr>
      <t>Adding Remote Repositories</t>
    </r>
    <r>
      <rPr>
        <sz val="11"/>
        <color rgb="FF000000"/>
        <rFont val="Calibri"/>
        <family val="2"/>
        <scheme val="minor"/>
      </rPr>
      <t xml:space="preserve">-Linking Local and Remote Repositories, Multiple Remotes; </t>
    </r>
    <r>
      <rPr>
        <b/>
        <sz val="11"/>
        <color rgb="FF000000"/>
        <rFont val="Calibri"/>
        <family val="2"/>
        <scheme val="minor"/>
      </rPr>
      <t>git pull and git push</t>
    </r>
    <r>
      <rPr>
        <sz val="11"/>
        <color rgb="FF000000"/>
        <rFont val="Calibri"/>
        <family val="2"/>
        <scheme val="minor"/>
      </rPr>
      <t xml:space="preserve">-Pulling Changes from a Remote Repository, Pushing Changes to a Remote Repository; </t>
    </r>
    <r>
      <rPr>
        <b/>
        <sz val="11"/>
        <color rgb="FF000000"/>
        <rFont val="Calibri"/>
        <family val="2"/>
        <scheme val="minor"/>
      </rPr>
      <t>Handling Remote Branches</t>
    </r>
    <r>
      <rPr>
        <sz val="11"/>
        <color rgb="FF000000"/>
        <rFont val="Calibri"/>
        <family val="2"/>
        <scheme val="minor"/>
      </rPr>
      <t>-Tracking and Creating Remote Branches;</t>
    </r>
  </si>
  <si>
    <t>Collaborating with Git</t>
  </si>
  <si>
    <r>
      <rPr>
        <b/>
        <sz val="11"/>
        <color rgb="FF000000"/>
        <rFont val="Calibri"/>
        <family val="2"/>
        <scheme val="minor"/>
      </rPr>
      <t>Forking and Pull Requests</t>
    </r>
    <r>
      <rPr>
        <sz val="11"/>
        <color rgb="FF000000"/>
        <rFont val="Calibri"/>
        <family val="2"/>
        <scheme val="minor"/>
      </rPr>
      <t xml:space="preserve">-Forking a Repository, Creating and Managing Pull Requests; </t>
    </r>
    <r>
      <rPr>
        <b/>
        <sz val="11"/>
        <color rgb="FF000000"/>
        <rFont val="Calibri"/>
        <family val="2"/>
        <scheme val="minor"/>
      </rPr>
      <t>Git Collaboration Workflows</t>
    </r>
    <r>
      <rPr>
        <sz val="11"/>
        <color rgb="FF000000"/>
        <rFont val="Calibri"/>
        <family val="2"/>
        <scheme val="minor"/>
      </rPr>
      <t>-Centralized Workflow, Feature Branch Workflow, Forking Workflow, Gitflow Workflow</t>
    </r>
  </si>
  <si>
    <t>Introduction to Angular and Setting Up Environment</t>
  </si>
  <si>
    <t>Overview of Angular, Setting Up the Development Environment-Installing Angular CLI and Creating a New Angular Project, Angular Project Structure and Files, Running and Building Angular Applications</t>
  </si>
  <si>
    <t>TypeScript Essentials for Angular</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</si>
  <si>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</si>
  <si>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</si>
  <si>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</si>
  <si>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</si>
  <si>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</si>
  <si>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</si>
  <si>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</si>
  <si>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</si>
  <si>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</si>
  <si>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</si>
  <si>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</si>
  <si>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</si>
  <si>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</si>
  <si>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</si>
  <si>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</si>
  <si>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</si>
  <si>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</si>
  <si>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</si>
  <si>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</si>
  <si>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</si>
  <si>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</si>
  <si>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</si>
  <si>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</si>
  <si>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Calibri"/>
        <family val="2"/>
        <scheme val="minor"/>
      </rPr>
      <t>File System Module (fs)</t>
    </r>
    <r>
      <rPr>
        <sz val="11"/>
        <color rgb="FF000000"/>
        <rFont val="Calibri"/>
        <family val="2"/>
        <scheme val="minor"/>
      </rPr>
      <t xml:space="preserve"> - Reading and writing files, Basic asynchronous operations with fs (e.g., readFile and writeFile), </t>
    </r>
    <r>
      <rPr>
        <b/>
        <sz val="11"/>
        <color rgb="FF000000"/>
        <rFont val="Calibri"/>
        <family val="2"/>
        <scheme val="minor"/>
      </rPr>
      <t>HTTP Module</t>
    </r>
    <r>
      <rPr>
        <sz val="11"/>
        <color rgb="FF000000"/>
        <rFont val="Calibri"/>
        <family val="2"/>
        <scheme val="minor"/>
      </rPr>
      <t xml:space="preserve"> - Creating a basic HTTP server, Handling simple HTTP requests and responses</t>
    </r>
  </si>
  <si>
    <t>Asynchronous Programming Basics</t>
  </si>
  <si>
    <r>
      <rPr>
        <b/>
        <sz val="11"/>
        <color rgb="FF000000"/>
        <rFont val="Calibri"/>
        <family val="2"/>
        <scheme val="minor"/>
      </rPr>
      <t>Callbacks and Promises</t>
    </r>
    <r>
      <rPr>
        <sz val="11"/>
        <color rgb="FF000000"/>
        <rFont val="Calibri"/>
        <family val="2"/>
        <scheme val="minor"/>
      </rPr>
      <t xml:space="preserve"> - Using callbacks for asynchronous operations, Introduction to Promises and .then() syntax, </t>
    </r>
    <r>
      <rPr>
        <b/>
        <sz val="11"/>
        <color rgb="FF000000"/>
        <rFont val="Calibri"/>
        <family val="2"/>
        <scheme val="minor"/>
      </rPr>
      <t>Async/Await Basics</t>
    </r>
    <r>
      <rPr>
        <sz val="11"/>
        <color rgb="FF000000"/>
        <rFont val="Calibri"/>
        <family val="2"/>
        <scheme val="minor"/>
      </rPr>
      <t xml:space="preserve"> - Using async/await for cleaner asynchronous code</t>
    </r>
  </si>
  <si>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</si>
  <si>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</si>
  <si>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</si>
  <si>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</si>
  <si>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Introduction to .NET 8</t>
  </si>
  <si>
    <t>Overview of the .NET platform, Evolution from .NET Framework to .NET 6 and .NET 8, Key features and improvements in .NET 8</t>
  </si>
  <si>
    <t>C# 12 Features</t>
  </si>
  <si>
    <t>New language features and enhancements in C# 12, Syntax improvements and language additions, Benefits of using C# 12 in .NET 8 applications</t>
  </si>
  <si>
    <t>C# Best Practices</t>
  </si>
  <si>
    <r>
      <t xml:space="preserve">What &amp; Why, </t>
    </r>
    <r>
      <rPr>
        <b/>
        <sz val="11"/>
        <color rgb="FF000000"/>
        <rFont val="Calibri"/>
        <family val="2"/>
        <scheme val="minor"/>
      </rPr>
      <t>The SOLID Principles of Object-Oriented Programming</t>
    </r>
    <r>
      <rPr>
        <sz val="11"/>
        <color rgb="FF000000"/>
        <rFont val="Calibri"/>
        <family val="2"/>
        <scheme val="minor"/>
      </rPr>
      <t xml:space="preserve"> - The Single Responsibility Principle, The Open-Closed Principle, The Liskov Substitution Principle, The Interface Segregation Principle, The Dependency Inversion Principle</t>
    </r>
  </si>
  <si>
    <t>Getting Started</t>
  </si>
  <si>
    <t>Introduction to SQL Server, SQL Server Editions, Key Components and Services of SQL Server, SQL Server Instances, SQL Server Management Studio</t>
  </si>
  <si>
    <t>Advanced Concepts</t>
  </si>
  <si>
    <t>OVER(), PARTITION BY, ROW_NUMBER, RANK, DENSE_RANK, GROUPING SETS, CUBE, ROLLUP, WITH Statement, Common Table Expression (CTE), Recursive CTE, MERGE, PIVOT,  UNPIVOT</t>
  </si>
  <si>
    <t>Views and Indexes</t>
  </si>
  <si>
    <t>Introduction to Views, Creating Views, Modifying Views, Dropping Views, Types of Views, Updating Views, Indexed Views, Security and Views, Introduction to Indexes, Types of Indexes, Creating Indexes, Modifying Indexes, Dropping Indexes, Covering Indexes, Index Fragmentation, Indexing and Query Optimization</t>
  </si>
  <si>
    <t>Stored Procedures and User-Defined Functions</t>
  </si>
  <si>
    <t>What is a Stored Procedure?, Benefits of Using Stored Procedures,  Types of Stored Procedures - User-defined, Temporary, System, Extended User-Defined, Create a Stored Procedure,  Modify a Stored Procedure, Delete a Stored Procedure, Execute a Stored Procedure, Grant Permissions on a Stored Procedure, Return Data from a Stored Procedure, Rename a Stored Procedure, Parameters, What are Functions in SQL Server?, Benefits of user-defined functions, Types of functions-Scalar functions, Table-valued functions, System functions, Built-in system functions, Create User-defined Functions, Modify User-defined Functions, Delete User-defined Functions, Execute User-defined Functions</t>
  </si>
  <si>
    <t>Triggers and Cursors</t>
  </si>
  <si>
    <t>What are Triggers?, When we use Triggers?, Types of SQL Server Triggers, DML Triggers - After Triggers,Instead Of Triggers, Logon Triggers, Create Trigger, Modify Triggers using SSMS, DELETE Triggers,  Advantages of Triggers, Disadvantages of Triggers, What are Cursors?, Life Cycle of the Cursor, Uses of SQL Server Cursor, Types of Cursors in SQL Server, Limitations of SQL Server Cursor, Alternates to Cursor</t>
  </si>
  <si>
    <t>Exception Handling</t>
  </si>
  <si>
    <t>What are Exceptions?, Types of SQL Server Exceptions - System Defined, User Defined, Retrieving detailed information on the error,  TRY/CATCH, Using Nested TRY...CATCH Constructs,THROW and RAISERROR</t>
  </si>
  <si>
    <t>Transactions</t>
  </si>
  <si>
    <t>What are transactions?, ACID Properties, Transaction States, Transaction Management Statements, Savepoints, Implicit vs. Explicit Transactions, Nested Transactions, Transaction Isolation Levels, Locking and Blocking, Transaction Deadlocks</t>
  </si>
  <si>
    <t>Overview of EF Core 8 and .NET 8 Integration</t>
  </si>
  <si>
    <t>What is ORM (Object-Relational Mapping)?, EF Core vs EF Framework: Key Differences, New Features in EF Core 8</t>
  </si>
  <si>
    <t>Setting up EF Core in a .NET 8 Project</t>
  </si>
  <si>
    <t>Installing EF Core Packages via NuGet, Configuring DbContext, Connecting to SQL Server, Basic EF Core CLI Commands (Add Migration, Update Database)</t>
  </si>
  <si>
    <t>Creating a Simple Database Model</t>
  </si>
  <si>
    <t>Defining Entities and Relationships
Primary Keys, Foreign Keys, and Navigation Properties, Code-First Approach Overview</t>
  </si>
  <si>
    <t>Performing Basic CRUD Operations</t>
  </si>
  <si>
    <t>Inserting Records into the Database (AddAsync), Retrieving Data with Find, FirstOrDefault, and ToListAsync, Updating Records and Tracking Changes, Deleting Records (Remove vs DeleteRange)</t>
  </si>
  <si>
    <t>LINQ Queries in EF Core 8</t>
  </si>
  <si>
    <t>Writing Queries Using Where, Select, and OrderBy, Projection into DTOs (Data Transfer Objects), Filtering and Aggregating Data, Asynchronous Queries with ToListAsync()</t>
  </si>
  <si>
    <t>EF Core Migrations and Database Updates</t>
  </si>
  <si>
    <t>Adding, Removing, and Updating Migrations, Seeding Data during Migrations, Managing Database Schema Changes</t>
  </si>
  <si>
    <t>Handling Relationships and Data Loading</t>
  </si>
  <si>
    <t>Eager, Lazy, and Explicit Loading Explained, Configuring One-to-One, One-to-Many, and Many-to-Many Relationships, Navigating Circular References</t>
  </si>
  <si>
    <t>Performance Optimizations and Best Practices</t>
  </si>
  <si>
    <t>Query Caching and Tracking Behavior (AsNoTracking), Batch Processing and Bulk Operations, Handling Concurrency with RowVersion Columns, Using Compiled Queries for Performance Boost</t>
  </si>
  <si>
    <t xml:space="preserve">What is Dapper?, When Should You Use Dapper?, What does Dapper do?, Dapper vs Entity Framework </t>
  </si>
  <si>
    <t>Database Providers with Dapper</t>
  </si>
  <si>
    <t>Dapper SQL Server, Dapper Oracle, Dapper SQLite, Dapper MySql, Dapper PostgreSQL</t>
  </si>
  <si>
    <t>Querying Data with Dapper</t>
  </si>
  <si>
    <t>Querying Scalar Values (ExecuteScalar), Querying Single Rows (QuerySingle, QueryFirst), Querying Multiple Rows (Query), Querying Multiple Result (QueryMultiple), Querying Specific Columns, Executing Reader With Dapper, Executing Stored Procedures With Dapper</t>
  </si>
  <si>
    <t>Executing Non-Query Commands with Dapper</t>
  </si>
  <si>
    <t>Dapper Insert, Dapper Update, Dapper Delete, Dapper ExecuteAsync</t>
  </si>
  <si>
    <t>Using Parameters with Dapper</t>
  </si>
  <si>
    <t>Why You Should Use Parameters?, What is SQL Injection?, Dapper Anonymous Parameters, Dapper Dynamic Parameters, Dapper String Parameters, Dapper WHERE IN Parameters, Dapper Table-Valued Parameters, Dapper Output Parameter</t>
  </si>
  <si>
    <t>Using Relationships with Dapper</t>
  </si>
  <si>
    <t>Dapper Relationships, Dapper SplitOn, Dapper One-To-Many Relationships, Dapper Many To Many Relationships, Dapper Multiple Relationships</t>
  </si>
  <si>
    <t>Bulk Operations with Dapper</t>
  </si>
  <si>
    <t xml:space="preserve">Dapper Plus - BulkInsert, BulkUpdate, BulkDelete, BulkMerge	</t>
  </si>
  <si>
    <t>Introduction to ASP.NET Core 8</t>
  </si>
  <si>
    <t>Overview of ASP.NET Core 8 and .NET 8, ASP.NET Core vs .NET Framework, Installing SDKs and Setting up Visual Studio / VS Code</t>
  </si>
  <si>
    <t>Creating a New ASP.NET Core Project</t>
  </si>
  <si>
    <t>Introduction to Project Templates (MVC vs API vs Minimal APIs), Setting Up a Basic MVC Project, Project Structure Overview (Controllers, Views, Models, wwwroot)</t>
  </si>
  <si>
    <t>Understanding MVC Architecture</t>
  </si>
  <si>
    <t>Role of Models, Views, and Controllers, Lifecycle of a Request in an MVC Application</t>
  </si>
  <si>
    <t>Working with Models</t>
  </si>
  <si>
    <t>Creating Models with C# Classes, Strongly-Typed Views and ViewModel Patterns, Data Annotations and Validation</t>
  </si>
  <si>
    <t>Building Controllers</t>
  </si>
  <si>
    <t>Creating and Registering Controllers, Handling Requests with Action Methods, Using Parameters in Controller Actions</t>
  </si>
  <si>
    <t>Designing Views in ASP.NET Core</t>
  </si>
  <si>
    <t>Razor View Engine and Razor Syntax, Layout Views and Partial Views, Adding CSS and JavaScript Files</t>
  </si>
  <si>
    <t>Routing in ASP.NET Core</t>
  </si>
  <si>
    <t>Convention-based Routing vs Attribute Routing, Route Constraints and Custom Routes, Generating URLs using Tag Helpers</t>
  </si>
  <si>
    <t>Working with Forms and User Input</t>
  </si>
  <si>
    <t>Designing Forms with Razor Pages, Handling Form Submission in Controllers, Model Binding and Model Validation</t>
  </si>
  <si>
    <t>State Management</t>
  </si>
  <si>
    <t>Managing State with Session and Cookies, TempData and ViewData for Short-term Data Storage, Managing Authentication State</t>
  </si>
  <si>
    <t>Integrating EF Core 8 with ASP.NET Core</t>
  </si>
  <si>
    <t>Configuring Database Connections, Performing CRUD Operations with EF Core, Using Migrations to Manage Database Schema</t>
  </si>
  <si>
    <t>Dependency Injection (DI) in ASP.NET Core</t>
  </si>
  <si>
    <t>Understanding the DI Container, Registering Services in the DI Container, Injecting Services into Controllers</t>
  </si>
  <si>
    <t>Publishing and Deployment</t>
  </si>
  <si>
    <t>Configuring the AppSettings File for Production, Publishing the Application (IIS, Azure, or Docker), Managing Environment-Specific Configurations</t>
  </si>
  <si>
    <t>ASP.NET Core 8 Web API</t>
  </si>
  <si>
    <t>Introduction to Web APIs and ASP.NET Core</t>
  </si>
  <si>
    <t>Overview of Web APIs, REST vs. SOAP, Setting up .NET 8 Development Environment, ASP.NET Core Web API project structure</t>
  </si>
  <si>
    <t>Building RESTful APIs with ASP.NET Core</t>
  </si>
  <si>
    <t>Creating controllers, actions, and routes, CRUD operations with Entity Framework Core, JSON formatting and serialization</t>
  </si>
  <si>
    <t>Advanced API Features</t>
  </si>
  <si>
    <t>Attribute routing and query parameters, Middleware and custom filters, Implementing JWT-based authentication and authorization</t>
  </si>
  <si>
    <t>Consuming and Creating SOAP Services</t>
  </si>
  <si>
    <t>Introduction to SOAP APIs and WCF, Consuming SOAP services in ASP.NET Core, Creating SOAP services using WCF</t>
  </si>
  <si>
    <t>API Security and Exception Handling</t>
  </si>
  <si>
    <t>Global exception handling and error responses, Logging with Serilog, Securing APIs with API keys and Oauth</t>
  </si>
  <si>
    <t>API Documentation and Testing</t>
  </si>
  <si>
    <t>Integrating Swagger/OpenAPI for API documentation, Using Postman for manual API testing, Automating API testing with REST Client</t>
  </si>
  <si>
    <t>Introduction to Microservices Architecture</t>
  </si>
  <si>
    <t>Overview of microservices architecture, Advantages and challenges of microservices, Comparison with monolithic architecture, Setting up an ASP.NET Core Web API project</t>
  </si>
  <si>
    <t>Microservice Communication and Data Management</t>
  </si>
  <si>
    <t>Inter-service communication methods (HTTP, messaging, gRPC), Service discovery and registration
Implementing communication patterns in ASP.NET Core Web API, Database per service vs. shared database patterns, Implementing data access with Entity Framework Core in microservices, Data consistency and transactions in microservices</t>
  </si>
  <si>
    <t>Security, Monitoring, and Deployment</t>
  </si>
  <si>
    <t>Authentication and authorization in microservices, Implementing JWT (JSON Web Tokens) authentication, Securing ASP.NET Core Web API endpoints, Importance of monitoring and logging in microservices, Logging strategies in ASP.NET Core Web API, Implementing health checks and metrics endpoints, Deployment strategies for microservices (rolling updates, blue-green deployments), Setting up CI/CD pipelines with Azure DevOps or GitHub Actions, Automating deployment with Docker and Kubernetes</t>
  </si>
  <si>
    <t>Application Debugging-Backend</t>
  </si>
  <si>
    <t>Overview of Web API Debugging</t>
  </si>
  <si>
    <r>
      <rPr>
        <b/>
        <sz val="11"/>
        <color rgb="FF000000"/>
        <rFont val="Calibri"/>
        <family val="2"/>
        <scheme val="minor"/>
      </rPr>
      <t>Importance of Debugging</t>
    </r>
    <r>
      <rPr>
        <sz val="11"/>
        <color rgb="FF000000"/>
        <rFont val="Calibri"/>
        <family val="2"/>
        <scheme val="minor"/>
      </rPr>
      <t>-Importance of Debugging,  Challenges in Identifying and Fixing Issues</t>
    </r>
  </si>
  <si>
    <t>Debugging in Visual Studio</t>
  </si>
  <si>
    <r>
      <rPr>
        <b/>
        <sz val="11"/>
        <color rgb="FF000000"/>
        <rFont val="Calibri"/>
        <family val="2"/>
        <scheme val="minor"/>
      </rPr>
      <t>Setting Breakpoints</t>
    </r>
    <r>
      <rPr>
        <sz val="11"/>
        <color rgb="FF000000"/>
        <rFont val="Calibri"/>
        <family val="2"/>
        <scheme val="minor"/>
      </rPr>
      <t xml:space="preserve">-Placing Breakpoints in Code, Understanding Breakpoint Types;  </t>
    </r>
    <r>
      <rPr>
        <b/>
        <sz val="11"/>
        <color rgb="FF000000"/>
        <rFont val="Calibri"/>
        <family val="2"/>
        <scheme val="minor"/>
      </rPr>
      <t>Inspecting Variables-</t>
    </r>
    <r>
      <rPr>
        <sz val="11"/>
        <color rgb="FF000000"/>
        <rFont val="Calibri"/>
        <family val="2"/>
        <scheme val="minor"/>
      </rPr>
      <t>Using Watch and Locals Windows</t>
    </r>
    <r>
      <rPr>
        <sz val="11"/>
        <color rgb="FF000000"/>
        <rFont val="Calibri"/>
        <family val="2"/>
        <scheme val="minor"/>
      </rPr>
      <t xml:space="preserve">, Inspecting Variable Values During Debugging; </t>
    </r>
    <r>
      <rPr>
        <b/>
        <sz val="11"/>
        <color rgb="FF000000"/>
        <rFont val="Calibri"/>
        <family val="2"/>
        <scheme val="minor"/>
      </rPr>
      <t>Stepping Through Code</t>
    </r>
    <r>
      <rPr>
        <sz val="11"/>
        <color rgb="FF000000"/>
        <rFont val="Calibri"/>
        <family val="2"/>
        <scheme val="minor"/>
      </rPr>
      <t>-Step Into, Step Over, and Step Out, Navigating Through Code Execution</t>
    </r>
  </si>
  <si>
    <t>Handling Exceptions</t>
  </si>
  <si>
    <r>
      <rPr>
        <b/>
        <sz val="11"/>
        <color rgb="FF000000"/>
        <rFont val="Calibri"/>
        <family val="2"/>
        <scheme val="minor"/>
      </rPr>
      <t>Configuring Exception Settings</t>
    </r>
    <r>
      <rPr>
        <sz val="11"/>
        <color rgb="FF000000"/>
        <rFont val="Calibri"/>
        <family val="2"/>
        <scheme val="minor"/>
      </rPr>
      <t xml:space="preserve">-Enabling/Disabling Exception Breakpoints, Exception Settings in Visual Studio;  </t>
    </r>
    <r>
      <rPr>
        <b/>
        <sz val="11"/>
        <color rgb="FF000000"/>
        <rFont val="Calibri"/>
        <family val="2"/>
        <scheme val="minor"/>
      </rPr>
      <t>Handling Runtime Exceptions</t>
    </r>
    <r>
      <rPr>
        <sz val="11"/>
        <color rgb="FF000000"/>
        <rFont val="Calibri"/>
        <family val="2"/>
        <scheme val="minor"/>
      </rPr>
      <t>-Catching and Analyzing Exceptions, Debugging Unhandled Exceptions</t>
    </r>
  </si>
  <si>
    <t>Using Postman for API Testing</t>
  </si>
  <si>
    <r>
      <rPr>
        <b/>
        <sz val="11"/>
        <color rgb="FF000000"/>
        <rFont val="Calibri"/>
        <family val="2"/>
        <scheme val="minor"/>
      </rPr>
      <t>Importing API Endpoints</t>
    </r>
    <r>
      <rPr>
        <sz val="11"/>
        <color rgb="FF000000"/>
        <rFont val="Calibri"/>
        <family val="2"/>
        <scheme val="minor"/>
      </rPr>
      <t xml:space="preserve">-Importing API Definitions into Postman, Configuring API Requests; </t>
    </r>
    <r>
      <rPr>
        <b/>
        <sz val="11"/>
        <color rgb="FF000000"/>
        <rFont val="Calibri"/>
        <family val="2"/>
        <scheme val="minor"/>
      </rPr>
      <t>Sending Requests and Inspecting Responses</t>
    </r>
    <r>
      <rPr>
        <sz val="11"/>
        <color rgb="FF000000"/>
        <rFont val="Calibri"/>
        <family val="2"/>
        <scheme val="minor"/>
      </rPr>
      <t>-Making GET, POST, PUT, and DELETE Requests, Analyzing Response Data in Postman</t>
    </r>
  </si>
  <si>
    <t>Debugging API Calls with Postman</t>
  </si>
  <si>
    <r>
      <rPr>
        <b/>
        <sz val="11"/>
        <color rgb="FF000000"/>
        <rFont val="Calibri"/>
        <family val="2"/>
        <scheme val="minor"/>
      </rPr>
      <t>Adding Breakpoints to Code</t>
    </r>
    <r>
      <rPr>
        <sz val="11"/>
        <color rgb="FF000000"/>
        <rFont val="Calibri"/>
        <family val="2"/>
        <scheme val="minor"/>
      </rPr>
      <t xml:space="preserve">-Demonstrating Breakpoint Usage in Visual Studio, Triggering Breakpoints from Postman; </t>
    </r>
    <r>
      <rPr>
        <b/>
        <sz val="11"/>
        <color rgb="FF000000"/>
        <rFont val="Calibri"/>
        <family val="2"/>
        <scheme val="minor"/>
      </rPr>
      <t>Inspecting Request and Response Data</t>
    </r>
    <r>
      <rPr>
        <sz val="11"/>
        <color rgb="FF000000"/>
        <rFont val="Calibri"/>
        <family val="2"/>
        <scheme val="minor"/>
      </rPr>
      <t>-Examining Request Headers and Body, Analyzing API Responses in Debug Mode</t>
    </r>
  </si>
  <si>
    <t>Advanced Debugging Techniques</t>
  </si>
  <si>
    <r>
      <rPr>
        <b/>
        <sz val="11"/>
        <color rgb="FF000000"/>
        <rFont val="Calibri"/>
        <family val="2"/>
        <scheme val="minor"/>
      </rPr>
      <t>Remote Debugging</t>
    </r>
    <r>
      <rPr>
        <sz val="11"/>
        <color rgb="FF000000"/>
        <rFont val="Calibri"/>
        <family val="2"/>
        <scheme val="minor"/>
      </rPr>
      <t xml:space="preserve">-Debugging Web API on Remote Servers, Configuring Visual Studio for Remote Debugging;  </t>
    </r>
    <r>
      <rPr>
        <b/>
        <sz val="11"/>
        <color rgb="FF000000"/>
        <rFont val="Calibri"/>
        <family val="2"/>
        <scheme val="minor"/>
      </rPr>
      <t>Profiling and Performance Analysis</t>
    </r>
    <r>
      <rPr>
        <sz val="11"/>
        <color rgb="FF000000"/>
        <rFont val="Calibri"/>
        <family val="2"/>
        <scheme val="minor"/>
      </rPr>
      <t>-Identifying Performance Bottlenecks, Using Visual Studio Profiler</t>
    </r>
  </si>
  <si>
    <t>What is Automated Testing, Benifits of Automated Testing, Types of Tests, Test Pyramid, Popular Testing Frameworks, Using NUnit in Visual Studio, What is Test-Driven Development</t>
  </si>
  <si>
    <t>Fundamentals of Unit Testing</t>
  </si>
  <si>
    <t>Characteristics of Good Unit Tests, What to Test and What Not to Test, Naming and Organizing Tests, Black-box Testing, Set Up and Tear Down, Parameterized Tests, Ignoring Tests, Writing Trustworthy Tests</t>
  </si>
  <si>
    <t>Core Unit Testing Techniques</t>
  </si>
  <si>
    <t>Testing Strings, Testing Arrays and Collections, Testing Return Type of Methods, Testing Void Methods, Testing Methods that Throw Exceptions, Testing Private Methods, Code Coverage</t>
  </si>
  <si>
    <t>Breaking External Dependencies</t>
  </si>
  <si>
    <t>Loosely-coupled and Testable Code, Refactoring Towards a Loosely-coupled Design, Dependency Injection via Method Parameters, Dependency Injection via Properties, Dependency Injection via Constructor, Dependency Injection Frameworks, Mocking Frameworks, Creating Mock Objects Using Moq, State-based vs. Interaction Testing, Testing the Interaction Between Two Objects</t>
  </si>
  <si>
    <t>Coding Standards</t>
  </si>
  <si>
    <t>Naming Conventions, Indentation and Formatting, Comments and Documentation, Code Readability</t>
  </si>
  <si>
    <t>Performance</t>
  </si>
  <si>
    <t>Optimized Code, Memory Management</t>
  </si>
  <si>
    <t>Code Reviews</t>
  </si>
  <si>
    <t>Peer Reviews, Automated Code Analysis</t>
  </si>
  <si>
    <t>Overview of Code Analysis</t>
  </si>
  <si>
    <t>Introduction to Visual Studio's built-in code analysis tools, Purpose and benefits of code analysis in the development process</t>
  </si>
  <si>
    <t>Enabling and Configuring Code Analysis</t>
  </si>
  <si>
    <t>Enabling and configuring code analysis for projects in Visual Studio</t>
  </si>
  <si>
    <t>Code Metrics</t>
  </si>
  <si>
    <t>Understanding and interpreting code metrics, including cyclomatic complexity and maintainability index</t>
  </si>
  <si>
    <t>Code Analyzers and Diagnostics</t>
  </si>
  <si>
    <t>Overview of code analyzers and diagnostics in Visual Studio, Customizing rule sets for code analysis</t>
  </si>
  <si>
    <t>Common Code Analysis Rules</t>
  </si>
  <si>
    <t>Understanding and applying common code analysis rules, Adhering to best practices for code quality and maintainability</t>
  </si>
  <si>
    <t>Code Analysis in Code Reviews</t>
  </si>
  <si>
    <t>Using code analysis results as part of code reviews</t>
  </si>
  <si>
    <t>Introduction to Logging in .NET 8</t>
  </si>
  <si>
    <t>Importance of logging in application development, Overview of the built-in logging framework in .NET 8</t>
  </si>
  <si>
    <t>Configuring Logging in .NET 8</t>
  </si>
  <si>
    <t>Setting up logging in the Program.cs file, Configuring log providers, such as Console and Debug</t>
  </si>
  <si>
    <t>Logging Levels and Categories</t>
  </si>
  <si>
    <t>Understanding different logging levels (Information, Warning, Error, Debug), Categorizing logs for better organization</t>
  </si>
  <si>
    <t>Logging in Controllers and Services</t>
  </si>
  <si>
    <t>Injecting ILogger&lt;T&gt; in controllers and services, Using ILogger to log messages and events</t>
  </si>
  <si>
    <t>Log Filtering and Configuration</t>
  </si>
  <si>
    <t xml:space="preserve">Configuring log filtering in appsettings.json, Fine-tuning log output based on severity and categories  </t>
  </si>
  <si>
    <t>Introduction to log4net</t>
  </si>
  <si>
    <t>Introduction to log4net as a logging framework, Benefits of using a logging framework like log4net</t>
  </si>
  <si>
    <t>Basic Logging with log4net</t>
  </si>
  <si>
    <t>Initializing log4net, Logging Levels in log4net, Logging Messages</t>
  </si>
  <si>
    <t>Introduction</t>
  </si>
  <si>
    <t>What is Docker?, What is a Virtual Machine?, Docker vs. Virtual Machine, Docker Editions - Community, Enterprise</t>
  </si>
  <si>
    <t>Docker Commands</t>
  </si>
  <si>
    <t>Basic Docker Commands - Run, ps, stop, rm, images, rmi, pull, Append a command, Exec</t>
  </si>
  <si>
    <t>Docker Run</t>
  </si>
  <si>
    <t>How to Use the docker run Command, Run a Container Under a Specific Name, Run a Container in the Background (Detached Mode), Run a Container Interactively, Run a Container and Publish Container Ports, Run a Docker Container and Remove it Once the Process is Complete</t>
  </si>
  <si>
    <t>Docker Images</t>
  </si>
  <si>
    <t>What is a Docker Image?, Image Layers, Container Layer, Parent Image, Base Image, Docker Manifest, Container Registries, Container Repositories, How to Create a Docker Image - Interactive Method, Dockerfile Method, The Docker Build Context</t>
  </si>
  <si>
    <t>Docker Compose</t>
  </si>
  <si>
    <t>What is Docker Compose?, Benefits of Docker Compose, Basic Commands in Docker Compose, Install Docker Compose, Create the Compose file,The YAML Configuration file</t>
  </si>
  <si>
    <t>Docker Registry</t>
  </si>
  <si>
    <t>What it is?, Why use it, Alternatives, Basic commands</t>
  </si>
  <si>
    <t>Docker Engine</t>
  </si>
  <si>
    <t>What is it?, Docker Engine-Docker CLI, REST API, Docker Deamon</t>
  </si>
  <si>
    <t>Docker Storage</t>
  </si>
  <si>
    <t>Storage Drivers, Data Volumes, Changing the Storage Driver for a Container, Creating a Volume, Listing all the Volumes</t>
  </si>
  <si>
    <t>Docker Networking</t>
  </si>
  <si>
    <t>Default Networks, Listing All Docker Networks, Inspecting a Docker network, Creating Your Own New Network</t>
  </si>
  <si>
    <t>Container Orchastration</t>
  </si>
  <si>
    <t>What is container orchestration?, Why do we need container orchestration?, What are the benefits of container orchestration?, What is Kubernetes container orchestration?, Container orchestration versus Docker</t>
  </si>
  <si>
    <t>Introduction to the Cloud</t>
  </si>
  <si>
    <t xml:space="preserve">What is the Cloud?, Characteristics of the Cloud, CapEx vs OpEx, IaaS, PaaS, SaaS, Types of  Clouds, Main Cloud Providers </t>
  </si>
  <si>
    <t>Introduction to Azure</t>
  </si>
  <si>
    <t>Introduction, Regions and Zones, Azure Services, Creating Account, The Azure Portal, Account and Subscription, Creating a Resource, Finding a Resource, Removing a Resource, Azure CLI &amp; PowerShell</t>
  </si>
  <si>
    <t>Azure Basic Concepts</t>
  </si>
  <si>
    <t>Regions, Resource Groups, Storage Accounts, SLA, SLA Calculators, Cost</t>
  </si>
  <si>
    <t>Azure Compute</t>
  </si>
  <si>
    <t>Virtual Machines, Creating Virtual Machine, ARM Template, Using ARM Template, Deleting Virtual Machines, Virtual Machine Scale Set, Azure Instance Metadata Services, App Services, App Service Tiers, Auto Scaling App Service, Deployment Slots, Deployment Types, AKS, Containers, Introduction to Docker, Containers Management, Introduction to Kubernetes, Working with Azure Container Registry, Working with Containers, Working with AKS, Azure Functions, Running Functions Locally, How to Choose Compute Type?</t>
  </si>
  <si>
    <t>Azure Networking</t>
  </si>
  <si>
    <t>Networking in Azure, Virtual Networks, Subnets, Creating a Virtual Network, Working with Vnets, Secure VM Access, Service Endpoint vs Private Link, Access Restrictions, Load Balancer, Application Gateway, Creating Application Gateway</t>
  </si>
  <si>
    <t>Data in Azure</t>
  </si>
  <si>
    <t>Introduction, Database on VM, Azure SQL, Creating and Connecting to Azure SQL, Cosmos DB, SQL vs NoSQL Databases, Creating and Using Cosmos DB, Azure Storage, Creating and Using Storage Account, CDN and Automation</t>
  </si>
  <si>
    <t>Messaging in Azure</t>
  </si>
  <si>
    <t>Storage Queue, Using Storage Queue, Event Grid, Service Bus, Using Service Bus, Event Hubs, Using Event Hubs</t>
  </si>
  <si>
    <t>Azure Active Directory</t>
  </si>
  <si>
    <t>Introduction, Tenants, Users and Groups, Working with Users and Groups, MFA, Security Defaults, RBAC, Azure Roles, Using Azure Roles, Oauth&amp;JWT</t>
  </si>
  <si>
    <t>Introduction to Azure DevOps</t>
  </si>
  <si>
    <t>Overview of Azure DevOps services, Key components (Azure Boards, Azure Repos, Azure Pipelines, Azure Test Plans, Azure Artifacts), Creating an Azure DevOps account and organization</t>
  </si>
  <si>
    <t>Azure Repos</t>
  </si>
  <si>
    <t>Git basics, Creating and managing repositories, Branching and merging strategies, Git workflows, Working with pull requests</t>
  </si>
  <si>
    <t>Azure Boards</t>
  </si>
  <si>
    <t>Work item types (User Stories, Tasks, Bugs), Agile and Scrum methodologies, Kanban boards and sprints, Backlogs and planning</t>
  </si>
  <si>
    <t>Azure Pipelines Basics</t>
  </si>
  <si>
    <t>Introduction to CI/CD, Building blocks of a pipeline, YAML vs. Visual Designer, Triggers and variables, Agent pools and jobs</t>
  </si>
  <si>
    <t>Advanced Azure Pipelines</t>
  </si>
  <si>
    <t>Multi-stage pipelines, Dependency management, Pipeline templates, Environments and approvals, Deployment strategies</t>
  </si>
  <si>
    <t>Azure Release Pipelines</t>
  </si>
  <si>
    <t>Introduction to Release Pipelines, Deployment environments, Deployment gates and approvals, Variables and configuration</t>
  </si>
  <si>
    <t>Azure Test Plans</t>
  </si>
  <si>
    <t>Introduction to testing in Azure DevOps, Test plans and test suites, Manual testing, Automated testing integration, Test reporting and analysis</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</si>
  <si>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</si>
  <si>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</si>
  <si>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</si>
  <si>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</si>
  <si>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</si>
  <si>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</si>
  <si>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</si>
  <si>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</si>
  <si>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</si>
  <si>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</si>
  <si>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</si>
  <si>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</si>
  <si>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</si>
  <si>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</si>
  <si>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</si>
  <si>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</si>
  <si>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</si>
  <si>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</si>
  <si>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</si>
  <si>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</si>
  <si>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</si>
  <si>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</si>
  <si>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</si>
  <si>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</si>
  <si>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</si>
  <si>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</si>
  <si>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</si>
  <si>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</si>
  <si>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</si>
  <si>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</si>
  <si>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</si>
  <si>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</si>
  <si>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</si>
  <si>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</si>
  <si>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</si>
  <si>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</si>
  <si>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</si>
  <si>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</si>
  <si>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r>
      <t xml:space="preserve">Fundamentals of Generative AI [101-Basics]
Activity Code: </t>
    </r>
    <r>
      <rPr>
        <b/>
        <sz val="11"/>
        <color theme="1"/>
        <rFont val="Calibri"/>
        <family val="2"/>
        <scheme val="minor"/>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</si>
  <si>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</si>
  <si>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Calibri"/>
        <family val="2"/>
        <scheme val="minor"/>
      </rPr>
      <t>ATHDW335105</t>
    </r>
  </si>
  <si>
    <t>• This assessment is to assess the knowledge of associates on Generative AI tools and concepts at a Beginner proficiency.</t>
  </si>
  <si>
    <r>
      <t xml:space="preserve">Introduction to Responsible AI
Activity Code: </t>
    </r>
    <r>
      <rPr>
        <b/>
        <sz val="11"/>
        <color theme="1"/>
        <rFont val="Calibri"/>
        <family val="2"/>
        <scheme val="minor"/>
      </rPr>
      <t>CGZ-914en</t>
    </r>
  </si>
  <si>
    <t>• Overview of Responsible AI</t>
  </si>
  <si>
    <r>
      <t xml:space="preserve">Responsible AI-Deep Dive [101- BASICS]
Activity Code: </t>
    </r>
    <r>
      <rPr>
        <b/>
        <sz val="11"/>
        <color theme="1"/>
        <rFont val="Calibri"/>
        <family val="2"/>
        <scheme val="minor"/>
      </rPr>
      <t>ELRNG02344</t>
    </r>
  </si>
  <si>
    <t>This course focuses on Cognizant's four key principles of Responsible AI:
• Fair and Inclusive
• Accountable
• Safe, Secure, and Privacy-Enhanced
• Transparent and Explainable</t>
  </si>
  <si>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</si>
  <si>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</si>
  <si>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</si>
  <si>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</si>
  <si>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</si>
  <si>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</si>
  <si>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</si>
  <si>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</si>
  <si>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</si>
  <si>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</si>
  <si>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</si>
  <si>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</si>
  <si>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</si>
  <si>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</si>
  <si>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</si>
  <si>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</si>
  <si>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</si>
  <si>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</si>
  <si>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</si>
  <si>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</si>
  <si>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</si>
  <si>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</si>
  <si>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</si>
  <si>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</si>
  <si>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 xml:space="preserve">  </t>
  </si>
  <si>
    <t>Basic Types, Type Annotations, Interfaces and Type Aliases, Functions, Classes, Modules and Imports/Exports, Generics, Union and Intersection Types, Type Assertions and Type Guards, Asynchronous Programming</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</si>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</sst>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b/>
      <sz val="11"/>
      <color rgb="FF000000"/>
      <name val="Calibri"/>
      <family val="2"/>
      <scheme val="minor"/>
    </font>
    <font>
      <sz val="12"/>
      <color theme="1"/>
      <name val="Calibri"/>
      <family val="2"/>
      <scheme val="minor"/>
    </font>
    <font>
      <b/>
      <sz val="12"/>
      <color rgb="FFFFFFFF"/>
      <name val="Calibri"/>
      <family val="2"/>
      <scheme val="minor"/>
    </font>
    <font>
      <b/>
      <sz val="16"/>
      <color rgb="FFFFFFFF"/>
      <name val="Calibri"/>
      <family val="2"/>
      <scheme val="minor"/>
    </font>
    <font>
      <b/>
      <sz val="11"/>
      <color theme="0"/>
      <name val="Calibri"/>
      <family val="2"/>
      <scheme val="minor"/>
    </font>
    <font>
      <b/>
      <sz val="11"/>
      <name val="Calibri"/>
      <family val="2"/>
      <scheme val="minor"/>
    </font>
    <font>
      <sz val="12"/>
      <name val="Calibri"/>
      <family val="2"/>
      <scheme val="minor"/>
    </font>
    <font>
      <b/>
      <sz val="11"/>
      <color theme="1"/>
      <name val="Calibri"/>
      <family val="2"/>
      <scheme val="minor"/>
    </font>
    <font>
      <b/>
      <sz val="12"/>
      <color theme="0"/>
      <name val="Calibri"/>
      <family val="2"/>
      <scheme val="minor"/>
    </font>
    <font>
      <sz val="11"/>
      <color rgb="FF000000"/>
      <name val="Calibri"/>
      <family val="2"/>
    </font>
    <font>
      <b/>
      <sz val="12"/>
      <color rgb="FFFFFFFF"/>
      <name val="Calibri"/>
      <family val="2"/>
    </font>
    <font>
      <sz val="7"/>
      <color rgb="FFCE9178"/>
      <name val="Consolas"/>
      <family val="3"/>
    </font>
  </fonts>
  <fills count="18">
    <fill>
      <patternFill patternType="none"/>
    </fill>
    <fill>
      <patternFill patternType="gray125"/>
    </fill>
    <fill>
      <patternFill patternType="solid">
        <fgColor rgb="FFD6DCE4"/>
        <bgColor rgb="FF000000"/>
      </patternFill>
    </fill>
    <fill>
      <patternFill patternType="solid">
        <fgColor rgb="FFDDEBF7"/>
        <bgColor rgb="FF000000"/>
      </patternFill>
    </fill>
    <fill>
      <patternFill patternType="solid">
        <fgColor rgb="FF203764"/>
        <bgColor rgb="FF000000"/>
      </patternFill>
    </fill>
    <fill>
      <patternFill patternType="solid">
        <fgColor rgb="FFBDD7EE"/>
        <bgColor rgb="FF000000"/>
      </patternFill>
    </fill>
    <fill>
      <patternFill patternType="solid">
        <fgColor rgb="FFEDEDED"/>
        <bgColor rgb="FF000000"/>
      </patternFill>
    </fill>
    <fill>
      <patternFill patternType="solid">
        <fgColor rgb="FF000048"/>
        <bgColor rgb="FF000000"/>
      </patternFill>
    </fill>
    <fill>
      <patternFill patternType="solid">
        <fgColor rgb="FF548235"/>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indexed="64"/>
      </patternFill>
    </fill>
    <fill>
      <patternFill patternType="solid">
        <fgColor rgb="FF00B0F0"/>
        <bgColor rgb="FF000000"/>
      </patternFill>
    </fill>
    <fill>
      <patternFill patternType="solid">
        <fgColor theme="0"/>
        <bgColor indexed="64"/>
      </patternFill>
    </fill>
    <fill>
      <patternFill patternType="solid">
        <fgColor rgb="FFFFFFFF"/>
        <bgColor rgb="FF000000"/>
      </patternFill>
    </fill>
  </fills>
  <borders count="22">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right style="thin">
        <color rgb="FF000000"/>
      </right>
      <top/>
      <bottom style="thin">
        <color indexed="64"/>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156">
    <xf numFmtId="0" fontId="0" fillId="0" borderId="0" xfId="0"/>
    <xf numFmtId="0" fontId="1" fillId="2" borderId="2" xfId="0" applyFont="1" applyFill="1" applyBorder="1" applyAlignment="1">
      <alignment horizontal="left" vertical="center"/>
    </xf>
    <xf numFmtId="0" fontId="2" fillId="3" borderId="3" xfId="0" applyFont="1" applyFill="1" applyBorder="1" applyAlignment="1">
      <alignment horizontal="left" vertical="center" wrapText="1"/>
    </xf>
    <xf numFmtId="0" fontId="1" fillId="2" borderId="4" xfId="0" applyFont="1" applyFill="1" applyBorder="1" applyAlignment="1">
      <alignment horizontal="left" vertical="center"/>
    </xf>
    <xf numFmtId="0" fontId="2" fillId="3" borderId="5" xfId="0" applyFont="1" applyFill="1" applyBorder="1" applyAlignment="1">
      <alignment horizontal="left" vertical="center" wrapText="1"/>
    </xf>
    <xf numFmtId="0" fontId="4" fillId="0" borderId="9" xfId="0" applyFont="1" applyBorder="1" applyAlignment="1">
      <alignment horizontal="left" vertical="top" wrapText="1"/>
    </xf>
    <xf numFmtId="0" fontId="3" fillId="4" borderId="6" xfId="0" applyFont="1" applyFill="1" applyBorder="1" applyAlignment="1">
      <alignment vertical="top" wrapText="1"/>
    </xf>
    <xf numFmtId="0" fontId="3" fillId="4" borderId="7" xfId="0" applyFont="1" applyFill="1" applyBorder="1" applyAlignment="1">
      <alignment vertical="top" wrapText="1"/>
    </xf>
    <xf numFmtId="0" fontId="2" fillId="5" borderId="6" xfId="0" applyFont="1" applyFill="1" applyBorder="1" applyAlignment="1">
      <alignment horizontal="left" vertical="top" wrapText="1"/>
    </xf>
    <xf numFmtId="0" fontId="2" fillId="6" borderId="6" xfId="0" applyFont="1" applyFill="1" applyBorder="1" applyAlignment="1">
      <alignment vertical="top"/>
    </xf>
    <xf numFmtId="0" fontId="2" fillId="5" borderId="8" xfId="0" applyFont="1" applyFill="1" applyBorder="1" applyAlignment="1">
      <alignment horizontal="left" vertical="top" wrapText="1"/>
    </xf>
    <xf numFmtId="0" fontId="2" fillId="6" borderId="6" xfId="0" applyFont="1" applyFill="1" applyBorder="1" applyAlignment="1">
      <alignment vertical="top" wrapText="1"/>
    </xf>
    <xf numFmtId="0" fontId="2" fillId="5" borderId="6" xfId="0" applyFont="1" applyFill="1" applyBorder="1" applyAlignment="1">
      <alignment vertical="top" wrapText="1"/>
    </xf>
    <xf numFmtId="0" fontId="2" fillId="5" borderId="11" xfId="0" applyFont="1" applyFill="1" applyBorder="1" applyAlignment="1">
      <alignment vertical="top" wrapText="1"/>
    </xf>
    <xf numFmtId="0" fontId="2" fillId="0" borderId="8" xfId="0" applyFont="1" applyBorder="1" applyAlignment="1">
      <alignment vertical="top" wrapText="1"/>
    </xf>
    <xf numFmtId="0" fontId="2" fillId="0" borderId="6" xfId="0" applyFont="1" applyBorder="1" applyAlignment="1">
      <alignment horizontal="left" vertical="top" wrapText="1"/>
    </xf>
    <xf numFmtId="0" fontId="2" fillId="0" borderId="6" xfId="0" applyFont="1" applyBorder="1" applyAlignment="1">
      <alignmen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8" xfId="0" applyFont="1" applyBorder="1" applyAlignment="1">
      <alignment horizontal="left" vertical="top" wrapText="1"/>
    </xf>
    <xf numFmtId="0" fontId="2" fillId="0" borderId="11" xfId="0" applyFont="1" applyBorder="1" applyAlignment="1">
      <alignment horizontal="left" vertical="top"/>
    </xf>
    <xf numFmtId="0" fontId="2" fillId="0" borderId="6" xfId="0" applyFont="1" applyBorder="1" applyAlignment="1">
      <alignment horizontal="left" vertical="top"/>
    </xf>
    <xf numFmtId="0" fontId="2" fillId="0" borderId="13" xfId="0" applyFont="1" applyBorder="1" applyAlignment="1">
      <alignment horizontal="left" vertical="top" wrapText="1"/>
    </xf>
    <xf numFmtId="0" fontId="2" fillId="0" borderId="12" xfId="0" applyFont="1" applyBorder="1" applyAlignment="1">
      <alignment vertical="top" wrapText="1"/>
    </xf>
    <xf numFmtId="0" fontId="2" fillId="0" borderId="13" xfId="0" applyFont="1" applyBorder="1" applyAlignment="1">
      <alignment vertical="top" wrapText="1"/>
    </xf>
    <xf numFmtId="0" fontId="2" fillId="0" borderId="10" xfId="0" applyFont="1" applyBorder="1" applyAlignment="1">
      <alignment horizontal="left" vertical="top" wrapText="1"/>
    </xf>
    <xf numFmtId="0" fontId="2" fillId="0" borderId="9" xfId="0" applyFont="1" applyBorder="1" applyAlignment="1">
      <alignment horizontal="left" vertical="top"/>
    </xf>
    <xf numFmtId="0" fontId="2" fillId="0" borderId="9" xfId="0" applyFont="1" applyBorder="1" applyAlignment="1">
      <alignment horizontal="left" vertical="top" wrapText="1"/>
    </xf>
    <xf numFmtId="0" fontId="4" fillId="0" borderId="8" xfId="0" applyFont="1" applyBorder="1" applyAlignment="1">
      <alignment horizontal="left" vertical="top" wrapText="1"/>
    </xf>
    <xf numFmtId="0" fontId="4" fillId="0" borderId="12" xfId="0" applyFont="1" applyBorder="1" applyAlignment="1">
      <alignment vertical="top" wrapText="1"/>
    </xf>
    <xf numFmtId="0" fontId="4" fillId="0" borderId="5" xfId="0" applyFont="1" applyBorder="1" applyAlignment="1">
      <alignment vertical="top" wrapText="1"/>
    </xf>
    <xf numFmtId="0" fontId="2" fillId="0" borderId="5" xfId="0" applyFont="1" applyBorder="1" applyAlignment="1">
      <alignment vertical="top" wrapText="1"/>
    </xf>
    <xf numFmtId="0" fontId="2" fillId="0" borderId="18" xfId="0" applyFont="1" applyBorder="1" applyAlignment="1">
      <alignment horizontal="left" vertical="top" wrapText="1"/>
    </xf>
    <xf numFmtId="0" fontId="0" fillId="0" borderId="0" xfId="0" applyAlignment="1">
      <alignment vertical="top"/>
    </xf>
    <xf numFmtId="0" fontId="2" fillId="0" borderId="17" xfId="0" applyFont="1" applyBorder="1" applyAlignment="1">
      <alignment horizontal="left" vertical="top" wrapText="1"/>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4" fillId="0" borderId="6" xfId="0" applyFont="1" applyBorder="1" applyAlignment="1">
      <alignment vertical="top" wrapText="1"/>
    </xf>
    <xf numFmtId="0" fontId="0" fillId="0" borderId="6" xfId="0" applyBorder="1" applyAlignment="1">
      <alignment horizontal="left" vertical="top" wrapText="1"/>
    </xf>
    <xf numFmtId="0" fontId="6" fillId="0" borderId="0" xfId="0" applyFont="1"/>
    <xf numFmtId="0" fontId="2" fillId="0" borderId="6" xfId="0" applyFont="1" applyBorder="1" applyAlignment="1">
      <alignment vertical="center"/>
    </xf>
    <xf numFmtId="0" fontId="2" fillId="0" borderId="11" xfId="0" applyFont="1" applyBorder="1" applyAlignment="1">
      <alignment vertical="center"/>
    </xf>
    <xf numFmtId="0" fontId="2" fillId="0" borderId="7" xfId="0" applyFont="1" applyBorder="1" applyAlignment="1">
      <alignment vertical="center"/>
    </xf>
    <xf numFmtId="0" fontId="6" fillId="0" borderId="0" xfId="0" applyFont="1" applyAlignment="1">
      <alignment vertical="center"/>
    </xf>
    <xf numFmtId="0" fontId="5" fillId="0" borderId="8" xfId="0" applyFont="1" applyBorder="1" applyAlignment="1">
      <alignment vertical="top" wrapText="1"/>
    </xf>
    <xf numFmtId="0" fontId="5" fillId="0" borderId="6" xfId="0" applyFont="1" applyBorder="1" applyAlignment="1">
      <alignment vertical="top" wrapText="1"/>
    </xf>
    <xf numFmtId="0" fontId="7" fillId="7" borderId="6" xfId="0" applyFont="1" applyFill="1" applyBorder="1" applyAlignment="1">
      <alignment horizontal="left" vertical="center" wrapText="1"/>
    </xf>
    <xf numFmtId="0" fontId="7" fillId="7" borderId="8" xfId="0" applyFont="1" applyFill="1" applyBorder="1" applyAlignment="1">
      <alignment horizontal="left" vertical="center"/>
    </xf>
    <xf numFmtId="0" fontId="2" fillId="0" borderId="7" xfId="0" applyFont="1" applyBorder="1" applyAlignment="1">
      <alignment horizontal="left" vertical="top" wrapText="1"/>
    </xf>
    <xf numFmtId="0" fontId="3" fillId="7" borderId="8" xfId="0" applyFont="1" applyFill="1" applyBorder="1" applyAlignment="1">
      <alignment horizontal="left" vertical="top" wrapText="1"/>
    </xf>
    <xf numFmtId="0" fontId="3" fillId="7" borderId="8" xfId="0" applyFont="1" applyFill="1" applyBorder="1" applyAlignment="1">
      <alignment vertical="top" wrapText="1"/>
    </xf>
    <xf numFmtId="0" fontId="2" fillId="0" borderId="6" xfId="0" applyFont="1" applyBorder="1" applyAlignment="1">
      <alignment horizontal="right" vertical="top" wrapText="1"/>
    </xf>
    <xf numFmtId="0" fontId="3" fillId="7" borderId="8" xfId="0" applyFont="1" applyFill="1" applyBorder="1" applyAlignment="1">
      <alignment horizontal="right" vertical="top" wrapText="1"/>
    </xf>
    <xf numFmtId="0" fontId="2" fillId="0" borderId="8" xfId="0" applyFont="1" applyBorder="1" applyAlignment="1">
      <alignment horizontal="right" vertical="top" wrapText="1"/>
    </xf>
    <xf numFmtId="0" fontId="3" fillId="8" borderId="8" xfId="0" applyFont="1" applyFill="1" applyBorder="1" applyAlignment="1">
      <alignment vertical="top" wrapText="1"/>
    </xf>
    <xf numFmtId="0" fontId="9" fillId="12" borderId="1" xfId="0" applyFont="1" applyFill="1" applyBorder="1" applyAlignment="1">
      <alignment vertical="top" wrapText="1"/>
    </xf>
    <xf numFmtId="0" fontId="3" fillId="8" borderId="6" xfId="0" applyFont="1" applyFill="1" applyBorder="1" applyAlignment="1">
      <alignment vertical="top" wrapText="1"/>
    </xf>
    <xf numFmtId="0" fontId="3" fillId="10" borderId="6" xfId="0" applyFont="1" applyFill="1" applyBorder="1" applyAlignment="1">
      <alignment horizontal="right" vertical="top" wrapText="1"/>
    </xf>
    <xf numFmtId="0" fontId="3" fillId="10" borderId="9" xfId="0" applyFont="1" applyFill="1" applyBorder="1" applyAlignment="1">
      <alignment horizontal="right" vertical="top" wrapText="1"/>
    </xf>
    <xf numFmtId="0" fontId="3" fillId="7" borderId="6" xfId="0" applyFont="1" applyFill="1" applyBorder="1" applyAlignment="1">
      <alignment horizontal="left" vertical="top" wrapText="1"/>
    </xf>
    <xf numFmtId="0" fontId="11" fillId="0" borderId="6" xfId="0" applyFont="1" applyBorder="1" applyAlignment="1">
      <alignment horizontal="left" vertical="top" wrapText="1"/>
    </xf>
    <xf numFmtId="0" fontId="13" fillId="7" borderId="6" xfId="0" applyFont="1" applyFill="1" applyBorder="1" applyAlignment="1">
      <alignment horizontal="left" vertical="center" wrapText="1"/>
    </xf>
    <xf numFmtId="0" fontId="0" fillId="0" borderId="6" xfId="0" applyBorder="1" applyAlignment="1">
      <alignment vertical="top" wrapText="1"/>
    </xf>
    <xf numFmtId="0" fontId="0" fillId="0" borderId="6" xfId="0" applyBorder="1" applyAlignment="1">
      <alignment horizontal="left" vertical="top"/>
    </xf>
    <xf numFmtId="0" fontId="10" fillId="11" borderId="6" xfId="0" applyFont="1" applyFill="1" applyBorder="1" applyAlignment="1">
      <alignment vertical="top"/>
    </xf>
    <xf numFmtId="0" fontId="10" fillId="11" borderId="9" xfId="0" applyFont="1" applyFill="1" applyBorder="1" applyAlignment="1">
      <alignment vertical="top"/>
    </xf>
    <xf numFmtId="0" fontId="3" fillId="10" borderId="1" xfId="0" applyFont="1" applyFill="1" applyBorder="1" applyAlignment="1">
      <alignment vertical="top" wrapText="1"/>
    </xf>
    <xf numFmtId="0" fontId="3" fillId="10" borderId="2" xfId="0" applyFont="1" applyFill="1" applyBorder="1" applyAlignment="1">
      <alignment vertical="top" wrapText="1"/>
    </xf>
    <xf numFmtId="0" fontId="3" fillId="12" borderId="6" xfId="0" applyFont="1" applyFill="1" applyBorder="1" applyAlignment="1">
      <alignment vertical="top" wrapText="1"/>
    </xf>
    <xf numFmtId="0" fontId="3" fillId="7" borderId="13" xfId="0" applyFont="1" applyFill="1" applyBorder="1" applyAlignment="1">
      <alignment horizontal="left" vertical="top" wrapText="1"/>
    </xf>
    <xf numFmtId="0" fontId="3" fillId="7" borderId="12" xfId="0" applyFont="1" applyFill="1" applyBorder="1" applyAlignment="1">
      <alignment horizontal="left" vertical="top" wrapText="1"/>
    </xf>
    <xf numFmtId="0" fontId="10" fillId="11" borderId="12" xfId="0" applyFont="1" applyFill="1" applyBorder="1" applyAlignment="1">
      <alignment vertical="top"/>
    </xf>
    <xf numFmtId="0" fontId="2" fillId="0" borderId="8" xfId="0" applyFont="1" applyBorder="1" applyAlignment="1">
      <alignment horizontal="left" vertical="top"/>
    </xf>
    <xf numFmtId="0" fontId="2" fillId="0" borderId="7" xfId="0" applyFont="1" applyBorder="1" applyAlignment="1">
      <alignment vertical="top" wrapText="1"/>
    </xf>
    <xf numFmtId="0" fontId="0" fillId="14" borderId="6" xfId="0" applyFill="1" applyBorder="1" applyAlignment="1">
      <alignment horizontal="left" vertical="top"/>
    </xf>
    <xf numFmtId="0" fontId="0" fillId="14" borderId="6" xfId="0" applyFill="1" applyBorder="1" applyAlignment="1">
      <alignment horizontal="left" vertical="top" wrapText="1"/>
    </xf>
    <xf numFmtId="0" fontId="3" fillId="9" borderId="6" xfId="0" applyFont="1" applyFill="1" applyBorder="1" applyAlignment="1">
      <alignment vertical="top" wrapText="1"/>
    </xf>
    <xf numFmtId="0" fontId="3" fillId="9" borderId="10" xfId="0" applyFont="1" applyFill="1" applyBorder="1" applyAlignment="1">
      <alignment vertical="top" wrapText="1"/>
    </xf>
    <xf numFmtId="0" fontId="3" fillId="9" borderId="12" xfId="0" applyFont="1" applyFill="1" applyBorder="1" applyAlignment="1">
      <alignment vertical="top" wrapText="1"/>
    </xf>
    <xf numFmtId="0" fontId="2" fillId="0" borderId="8" xfId="0" applyFont="1" applyBorder="1" applyAlignment="1">
      <alignment vertical="top"/>
    </xf>
    <xf numFmtId="0" fontId="2" fillId="0" borderId="8" xfId="0" applyFont="1" applyBorder="1" applyAlignment="1">
      <alignment horizontal="center" vertical="top"/>
    </xf>
    <xf numFmtId="0" fontId="2" fillId="0" borderId="6" xfId="0" applyFont="1" applyBorder="1" applyAlignment="1">
      <alignment vertical="top"/>
    </xf>
    <xf numFmtId="0" fontId="3" fillId="7" borderId="13" xfId="0" applyFont="1" applyFill="1" applyBorder="1" applyAlignment="1">
      <alignment horizontal="center" vertical="center" wrapText="1"/>
    </xf>
    <xf numFmtId="0" fontId="3" fillId="15" borderId="13" xfId="0" applyFont="1" applyFill="1" applyBorder="1" applyAlignment="1">
      <alignment horizontal="left" vertical="top" wrapText="1"/>
    </xf>
    <xf numFmtId="0" fontId="3" fillId="15" borderId="6" xfId="0" applyFont="1" applyFill="1" applyBorder="1" applyAlignment="1">
      <alignment horizontal="left" vertical="top" wrapText="1"/>
    </xf>
    <xf numFmtId="0" fontId="3" fillId="15" borderId="8" xfId="0" applyFont="1" applyFill="1" applyBorder="1" applyAlignment="1">
      <alignment horizontal="left" vertical="top" wrapText="1"/>
    </xf>
    <xf numFmtId="0" fontId="3" fillId="15" borderId="8" xfId="0" applyFont="1" applyFill="1" applyBorder="1" applyAlignment="1">
      <alignment horizontal="right" vertical="top" wrapText="1"/>
    </xf>
    <xf numFmtId="0" fontId="2" fillId="0" borderId="6" xfId="0" applyFont="1" applyBorder="1" applyAlignment="1">
      <alignment horizontal="center" vertical="top"/>
    </xf>
    <xf numFmtId="0" fontId="2" fillId="0" borderId="7" xfId="0" applyFont="1" applyBorder="1" applyAlignment="1">
      <alignment horizontal="left" vertical="top"/>
    </xf>
    <xf numFmtId="0" fontId="4" fillId="16" borderId="6" xfId="0" applyFont="1" applyFill="1" applyBorder="1" applyAlignment="1">
      <alignment horizontal="left" vertical="top"/>
    </xf>
    <xf numFmtId="0" fontId="4" fillId="16" borderId="6" xfId="0" applyFont="1" applyFill="1" applyBorder="1" applyAlignment="1">
      <alignment horizontal="left" vertical="top" wrapText="1"/>
    </xf>
    <xf numFmtId="0" fontId="4" fillId="16" borderId="6" xfId="0" applyFont="1" applyFill="1" applyBorder="1" applyAlignment="1">
      <alignment horizontal="left" vertical="center" wrapText="1"/>
    </xf>
    <xf numFmtId="0" fontId="6" fillId="0" borderId="0" xfId="0" applyFont="1" applyAlignment="1">
      <alignment vertical="top"/>
    </xf>
    <xf numFmtId="0" fontId="0" fillId="0" borderId="0" xfId="0" applyAlignment="1">
      <alignment vertical="top" wrapText="1"/>
    </xf>
    <xf numFmtId="0" fontId="0" fillId="0" borderId="0" xfId="0" applyAlignment="1">
      <alignment horizontal="left" vertical="center"/>
    </xf>
    <xf numFmtId="0" fontId="0" fillId="0" borderId="6" xfId="0" applyBorder="1" applyAlignment="1">
      <alignment wrapText="1"/>
    </xf>
    <xf numFmtId="0" fontId="4" fillId="0" borderId="16" xfId="0" applyFont="1" applyBorder="1" applyAlignment="1">
      <alignment horizontal="left" vertical="top" wrapText="1"/>
    </xf>
    <xf numFmtId="0" fontId="0" fillId="0" borderId="0" xfId="0" applyAlignment="1">
      <alignment vertical="center"/>
    </xf>
    <xf numFmtId="0" fontId="13" fillId="13" borderId="6" xfId="0" applyFont="1" applyFill="1" applyBorder="1" applyAlignment="1">
      <alignment horizontal="left" vertical="center"/>
    </xf>
    <xf numFmtId="0" fontId="13" fillId="13" borderId="6" xfId="0" applyFont="1" applyFill="1" applyBorder="1" applyAlignment="1">
      <alignment horizontal="left" vertical="center" wrapText="1"/>
    </xf>
    <xf numFmtId="0" fontId="14" fillId="0" borderId="6" xfId="0" applyFont="1" applyBorder="1" applyAlignment="1">
      <alignment vertical="top" wrapText="1"/>
    </xf>
    <xf numFmtId="0" fontId="14" fillId="0" borderId="11" xfId="0" applyFont="1" applyBorder="1" applyAlignment="1">
      <alignment vertical="top" wrapText="1"/>
    </xf>
    <xf numFmtId="0" fontId="15" fillId="7" borderId="15" xfId="0" applyFont="1" applyFill="1" applyBorder="1" applyAlignment="1">
      <alignment vertical="top"/>
    </xf>
    <xf numFmtId="0" fontId="15" fillId="7" borderId="14" xfId="0" applyFont="1" applyFill="1" applyBorder="1" applyAlignment="1">
      <alignment vertical="top" wrapText="1"/>
    </xf>
    <xf numFmtId="0" fontId="14" fillId="17" borderId="16" xfId="0" applyFont="1" applyFill="1" applyBorder="1" applyAlignment="1">
      <alignment vertical="top"/>
    </xf>
    <xf numFmtId="0" fontId="14" fillId="17" borderId="20" xfId="0" applyFont="1" applyFill="1" applyBorder="1" applyAlignment="1">
      <alignment vertical="top" wrapText="1"/>
    </xf>
    <xf numFmtId="0" fontId="14" fillId="17" borderId="16" xfId="0" applyFont="1" applyFill="1" applyBorder="1" applyAlignment="1">
      <alignment vertical="top" wrapText="1"/>
    </xf>
    <xf numFmtId="0" fontId="14" fillId="17" borderId="21" xfId="0" applyFont="1" applyFill="1" applyBorder="1" applyAlignment="1">
      <alignment vertical="top" wrapText="1"/>
    </xf>
    <xf numFmtId="0" fontId="0" fillId="0" borderId="0" xfId="0" applyAlignment="1">
      <alignment vertical="center" wrapText="1"/>
    </xf>
    <xf numFmtId="0" fontId="16" fillId="0" borderId="0" xfId="0" applyFont="1" applyAlignment="1">
      <alignment vertical="center"/>
    </xf>
    <xf numFmtId="0" fontId="2" fillId="0" borderId="8" xfId="0" applyFont="1" applyBorder="1" applyAlignment="1">
      <alignment horizontal="left" vertical="top" wrapText="1"/>
    </xf>
    <xf numFmtId="0" fontId="2" fillId="0" borderId="7" xfId="0" applyFont="1" applyBorder="1" applyAlignment="1">
      <alignment horizontal="left" vertical="top" wrapText="1"/>
    </xf>
    <xf numFmtId="0" fontId="2" fillId="0" borderId="6" xfId="0" applyFont="1" applyBorder="1" applyAlignment="1">
      <alignment horizontal="left" vertical="top" wrapText="1"/>
    </xf>
    <xf numFmtId="0" fontId="8" fillId="7" borderId="9" xfId="0" applyFont="1" applyFill="1" applyBorder="1" applyAlignment="1">
      <alignment horizontal="center" vertical="center" wrapText="1"/>
    </xf>
    <xf numFmtId="0" fontId="8" fillId="7" borderId="12" xfId="0" applyFont="1" applyFill="1" applyBorder="1" applyAlignment="1">
      <alignment horizontal="center" vertical="center" wrapText="1"/>
    </xf>
    <xf numFmtId="0" fontId="3" fillId="12" borderId="7" xfId="0" applyFont="1" applyFill="1" applyBorder="1" applyAlignment="1">
      <alignment horizontal="right" vertical="top" wrapText="1"/>
    </xf>
    <xf numFmtId="0" fontId="3" fillId="12" borderId="11" xfId="0" applyFont="1" applyFill="1" applyBorder="1" applyAlignment="1">
      <alignment horizontal="right" vertical="top" wrapText="1"/>
    </xf>
    <xf numFmtId="0" fontId="3" fillId="8" borderId="8" xfId="0" applyFont="1" applyFill="1" applyBorder="1" applyAlignment="1">
      <alignment horizontal="right" vertical="top" wrapText="1"/>
    </xf>
    <xf numFmtId="0" fontId="3" fillId="8" borderId="7" xfId="0" applyFont="1" applyFill="1" applyBorder="1" applyAlignment="1">
      <alignment horizontal="right" vertical="top" wrapText="1"/>
    </xf>
    <xf numFmtId="0" fontId="3" fillId="8" borderId="11" xfId="0" applyFont="1" applyFill="1" applyBorder="1" applyAlignment="1">
      <alignment horizontal="right" vertical="top" wrapText="1"/>
    </xf>
    <xf numFmtId="0" fontId="3" fillId="12" borderId="8" xfId="0" applyFont="1" applyFill="1" applyBorder="1" applyAlignment="1">
      <alignment horizontal="right" vertical="top" wrapText="1"/>
    </xf>
    <xf numFmtId="0" fontId="5" fillId="0" borderId="7" xfId="0" applyFont="1" applyBorder="1" applyAlignment="1">
      <alignment horizontal="center" vertical="center" textRotation="90" wrapText="1"/>
    </xf>
    <xf numFmtId="0" fontId="3" fillId="7" borderId="8"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12" borderId="1" xfId="0" applyFont="1" applyFill="1" applyBorder="1" applyAlignment="1">
      <alignment horizontal="right" vertical="top" wrapText="1"/>
    </xf>
    <xf numFmtId="0" fontId="3" fillId="12" borderId="4" xfId="0" applyFont="1" applyFill="1" applyBorder="1" applyAlignment="1">
      <alignment horizontal="right" vertical="top" wrapText="1"/>
    </xf>
    <xf numFmtId="0" fontId="5" fillId="0" borderId="8" xfId="0" applyFont="1" applyBorder="1" applyAlignment="1">
      <alignment horizontal="center" vertical="center" textRotation="90" wrapText="1"/>
    </xf>
    <xf numFmtId="0" fontId="5" fillId="0" borderId="11" xfId="0" applyFont="1" applyBorder="1" applyAlignment="1">
      <alignment horizontal="center" vertical="center" textRotation="90" wrapText="1"/>
    </xf>
    <xf numFmtId="0" fontId="3" fillId="8" borderId="6" xfId="0" applyFont="1" applyFill="1" applyBorder="1" applyAlignment="1">
      <alignment horizontal="right" vertical="top" wrapText="1"/>
    </xf>
    <xf numFmtId="0" fontId="2" fillId="0" borderId="11" xfId="0" applyFont="1" applyBorder="1" applyAlignment="1">
      <alignment horizontal="left" vertical="top" wrapText="1"/>
    </xf>
    <xf numFmtId="0" fontId="5" fillId="0" borderId="6" xfId="0" applyFont="1" applyBorder="1" applyAlignment="1">
      <alignment horizontal="center" vertical="center" textRotation="90" wrapText="1"/>
    </xf>
    <xf numFmtId="0" fontId="0" fillId="0" borderId="8" xfId="0" applyBorder="1" applyAlignment="1">
      <alignment horizontal="left" vertical="top"/>
    </xf>
    <xf numFmtId="0" fontId="0" fillId="0" borderId="11" xfId="0" applyBorder="1" applyAlignment="1">
      <alignment horizontal="left" vertical="top"/>
    </xf>
    <xf numFmtId="0" fontId="2" fillId="6" borderId="6" xfId="0" applyFont="1" applyFill="1" applyBorder="1" applyAlignment="1">
      <alignment horizontal="center" vertical="center"/>
    </xf>
    <xf numFmtId="0" fontId="2" fillId="5" borderId="8" xfId="0" applyFont="1" applyFill="1" applyBorder="1" applyAlignment="1">
      <alignment horizontal="left" vertical="top" wrapText="1"/>
    </xf>
    <xf numFmtId="0" fontId="2" fillId="5" borderId="11" xfId="0" applyFont="1" applyFill="1" applyBorder="1" applyAlignment="1">
      <alignment horizontal="left" vertical="top" wrapText="1"/>
    </xf>
    <xf numFmtId="0" fontId="2" fillId="5" borderId="7" xfId="0" applyFont="1" applyFill="1" applyBorder="1" applyAlignment="1">
      <alignment horizontal="left" vertical="top" wrapText="1"/>
    </xf>
    <xf numFmtId="0" fontId="2" fillId="5" borderId="6" xfId="0" applyFont="1" applyFill="1" applyBorder="1" applyAlignment="1">
      <alignment horizontal="left" vertical="top" wrapText="1"/>
    </xf>
    <xf numFmtId="0" fontId="11" fillId="0" borderId="8" xfId="0" applyFont="1" applyBorder="1" applyAlignment="1">
      <alignment horizontal="left" vertical="top" wrapText="1"/>
    </xf>
    <xf numFmtId="0" fontId="11" fillId="0" borderId="7" xfId="0" applyFont="1" applyBorder="1" applyAlignment="1">
      <alignment horizontal="left" vertical="top" wrapText="1"/>
    </xf>
    <xf numFmtId="0" fontId="11" fillId="0" borderId="11" xfId="0" applyFont="1" applyBorder="1" applyAlignment="1">
      <alignment horizontal="left" vertical="top" wrapText="1"/>
    </xf>
    <xf numFmtId="0" fontId="0" fillId="0" borderId="7" xfId="0" applyBorder="1" applyAlignment="1">
      <alignment horizontal="left" vertical="top"/>
    </xf>
    <xf numFmtId="0" fontId="0" fillId="0" borderId="6" xfId="0" applyBorder="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left" vertical="top" wrapText="1"/>
    </xf>
    <xf numFmtId="0" fontId="2" fillId="0" borderId="8" xfId="0" applyFont="1" applyBorder="1" applyAlignment="1">
      <alignment horizontal="left" vertical="top"/>
    </xf>
    <xf numFmtId="0" fontId="2" fillId="0" borderId="7" xfId="0" applyFont="1" applyBorder="1" applyAlignment="1">
      <alignment horizontal="left" vertical="top"/>
    </xf>
    <xf numFmtId="0" fontId="2" fillId="0" borderId="11" xfId="0" applyFont="1" applyBorder="1" applyAlignment="1">
      <alignment horizontal="left" vertical="top"/>
    </xf>
    <xf numFmtId="0" fontId="2" fillId="0" borderId="8" xfId="0" applyFont="1" applyBorder="1" applyAlignment="1">
      <alignment horizontal="left" vertical="center"/>
    </xf>
    <xf numFmtId="0" fontId="2" fillId="0" borderId="11" xfId="0" applyFont="1" applyBorder="1" applyAlignment="1">
      <alignment horizontal="left" vertical="center"/>
    </xf>
    <xf numFmtId="0" fontId="14" fillId="0" borderId="18" xfId="0" applyFont="1" applyBorder="1" applyAlignment="1">
      <alignment vertical="top"/>
    </xf>
    <xf numFmtId="0" fontId="14" fillId="0" borderId="16" xfId="0" applyFont="1" applyBorder="1" applyAlignment="1">
      <alignment vertical="top"/>
    </xf>
    <xf numFmtId="0" fontId="14" fillId="17" borderId="18" xfId="0" applyFont="1" applyFill="1" applyBorder="1" applyAlignment="1">
      <alignment vertical="top" wrapText="1"/>
    </xf>
    <xf numFmtId="0" fontId="14" fillId="17" borderId="16"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000048"/>
      <color rgb="FF63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pane ySplit="1" topLeftCell="A2" activePane="bottomLeft" state="frozen"/>
      <selection pane="bottomLeft" sqref="A1:B1"/>
    </sheetView>
  </sheetViews>
  <sheetFormatPr defaultRowHeight="14.5" x14ac:dyDescent="0.35"/>
  <cols>
    <col min="1" max="1" width="41" bestFit="1" customWidth="1"/>
    <col min="2" max="2" width="59.81640625" bestFit="1" customWidth="1"/>
  </cols>
  <sheetData>
    <row r="1" spans="1:2" ht="30" customHeight="1" x14ac:dyDescent="0.35">
      <c r="A1" s="115" t="s">
        <v>0</v>
      </c>
      <c r="B1" s="116"/>
    </row>
    <row r="2" spans="1:2" x14ac:dyDescent="0.35">
      <c r="A2" s="1" t="s">
        <v>1</v>
      </c>
      <c r="B2" s="2" t="s">
        <v>2</v>
      </c>
    </row>
    <row r="3" spans="1:2" x14ac:dyDescent="0.35">
      <c r="A3" s="1"/>
      <c r="B3" s="2"/>
    </row>
    <row r="4" spans="1:2" x14ac:dyDescent="0.35">
      <c r="A4" s="1" t="s">
        <v>3</v>
      </c>
      <c r="B4" s="2" t="s">
        <v>4</v>
      </c>
    </row>
    <row r="5" spans="1:2" x14ac:dyDescent="0.35">
      <c r="A5" s="1"/>
      <c r="B5" s="2"/>
    </row>
    <row r="6" spans="1:2" ht="29" x14ac:dyDescent="0.35">
      <c r="A6" s="1" t="s">
        <v>5</v>
      </c>
      <c r="B6" s="2" t="s">
        <v>6</v>
      </c>
    </row>
    <row r="7" spans="1:2" x14ac:dyDescent="0.35">
      <c r="A7" s="1"/>
      <c r="B7" s="2"/>
    </row>
    <row r="8" spans="1:2" x14ac:dyDescent="0.35">
      <c r="A8" s="1"/>
      <c r="B8" s="2"/>
    </row>
    <row r="9" spans="1:2" ht="29" x14ac:dyDescent="0.35">
      <c r="A9" s="1" t="s">
        <v>7</v>
      </c>
      <c r="B9" s="2" t="s">
        <v>8</v>
      </c>
    </row>
    <row r="10" spans="1:2" x14ac:dyDescent="0.35">
      <c r="A10" s="1"/>
      <c r="B10" s="2"/>
    </row>
    <row r="11" spans="1:2" ht="58" x14ac:dyDescent="0.35">
      <c r="A11" s="3" t="s">
        <v>9</v>
      </c>
      <c r="B11" s="4" t="s">
        <v>10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5543-DC60-403B-AED9-739254EE574D}">
  <sheetPr>
    <tabColor rgb="FF000048"/>
  </sheetPr>
  <dimension ref="A1:J39"/>
  <sheetViews>
    <sheetView showGridLines="0" zoomScale="85" zoomScaleNormal="85" workbookViewId="0">
      <pane ySplit="1" topLeftCell="A28" activePane="bottomLeft" state="frozen"/>
      <selection pane="bottomLeft" activeCell="J29" sqref="J29:J35"/>
    </sheetView>
  </sheetViews>
  <sheetFormatPr defaultColWidth="8.7265625" defaultRowHeight="14.5" x14ac:dyDescent="0.35"/>
  <cols>
    <col min="1" max="1" width="12.81640625" style="35" customWidth="1"/>
    <col min="2" max="2" width="22.54296875" style="35" customWidth="1"/>
    <col min="3" max="3" width="34.54296875" style="35" customWidth="1"/>
    <col min="4" max="4" width="19.1796875" style="35" bestFit="1" customWidth="1"/>
    <col min="5" max="6" width="17.1796875" style="35" customWidth="1"/>
    <col min="7" max="7" width="14.81640625" style="35" customWidth="1"/>
    <col min="8" max="8" width="13.26953125" style="35" customWidth="1"/>
    <col min="9" max="9" width="14.453125" style="35" customWidth="1"/>
    <col min="10" max="10" width="17.54296875" style="35" customWidth="1"/>
    <col min="11" max="16384" width="8.7265625" style="35"/>
  </cols>
  <sheetData>
    <row r="1" spans="1:10" ht="43.5" x14ac:dyDescent="0.35">
      <c r="A1" s="61" t="s">
        <v>11</v>
      </c>
      <c r="B1" s="71" t="s">
        <v>12</v>
      </c>
      <c r="C1" s="51" t="s">
        <v>13</v>
      </c>
      <c r="D1" s="51" t="s">
        <v>14</v>
      </c>
      <c r="E1" s="52" t="s">
        <v>15</v>
      </c>
      <c r="F1" s="52" t="s">
        <v>16</v>
      </c>
      <c r="G1" s="52" t="s">
        <v>17</v>
      </c>
      <c r="H1" s="52" t="s">
        <v>18</v>
      </c>
      <c r="I1" s="52" t="s">
        <v>19</v>
      </c>
      <c r="J1" s="52" t="s">
        <v>20</v>
      </c>
    </row>
    <row r="2" spans="1:10" ht="29" x14ac:dyDescent="0.35">
      <c r="A2" s="128" t="s">
        <v>21</v>
      </c>
      <c r="B2" s="50" t="s">
        <v>22</v>
      </c>
      <c r="C2" s="15" t="s">
        <v>23</v>
      </c>
      <c r="D2" s="21" t="s">
        <v>24</v>
      </c>
      <c r="E2" s="55">
        <v>9</v>
      </c>
      <c r="F2" s="55">
        <f>ROUND(E2/9,2)</f>
        <v>1</v>
      </c>
      <c r="G2" s="15" t="s">
        <v>25</v>
      </c>
      <c r="H2" s="21"/>
      <c r="I2" s="130">
        <f>SUM(E2:E6)</f>
        <v>171</v>
      </c>
      <c r="J2" s="117">
        <f>ROUND(I2/45,2)</f>
        <v>3.8</v>
      </c>
    </row>
    <row r="3" spans="1:10" ht="29" x14ac:dyDescent="0.35">
      <c r="A3" s="123"/>
      <c r="B3" s="14" t="s">
        <v>26</v>
      </c>
      <c r="C3" s="21" t="s">
        <v>27</v>
      </c>
      <c r="D3" s="15" t="s">
        <v>28</v>
      </c>
      <c r="E3" s="53">
        <v>9</v>
      </c>
      <c r="F3" s="55">
        <f>ROUND(E3/9,2)</f>
        <v>1</v>
      </c>
      <c r="G3" s="15" t="s">
        <v>29</v>
      </c>
      <c r="H3" s="21"/>
      <c r="I3" s="130"/>
      <c r="J3" s="117"/>
    </row>
    <row r="4" spans="1:10" ht="29" x14ac:dyDescent="0.35">
      <c r="A4" s="123"/>
      <c r="B4" s="112" t="s">
        <v>30</v>
      </c>
      <c r="C4" s="15" t="s">
        <v>31</v>
      </c>
      <c r="D4" s="21" t="s">
        <v>28</v>
      </c>
      <c r="E4" s="55">
        <v>144</v>
      </c>
      <c r="F4" s="55">
        <f t="shared" ref="F4:F27" si="0">ROUND(E4/9,2)</f>
        <v>16</v>
      </c>
      <c r="G4" s="21" t="s">
        <v>29</v>
      </c>
      <c r="H4" s="21"/>
      <c r="I4" s="130"/>
      <c r="J4" s="117"/>
    </row>
    <row r="5" spans="1:10" ht="29" x14ac:dyDescent="0.35">
      <c r="A5" s="123"/>
      <c r="B5" s="131"/>
      <c r="C5" s="16" t="s">
        <v>32</v>
      </c>
      <c r="D5" s="15" t="s">
        <v>28</v>
      </c>
      <c r="E5" s="53">
        <v>9</v>
      </c>
      <c r="F5" s="55">
        <f t="shared" si="0"/>
        <v>1</v>
      </c>
      <c r="G5" s="21" t="s">
        <v>29</v>
      </c>
      <c r="H5" s="21"/>
      <c r="I5" s="130"/>
      <c r="J5" s="117"/>
    </row>
    <row r="6" spans="1:10" ht="29" x14ac:dyDescent="0.35">
      <c r="A6" s="129"/>
      <c r="B6" s="24" t="s">
        <v>33</v>
      </c>
      <c r="C6" s="15" t="s">
        <v>34</v>
      </c>
      <c r="D6" s="15" t="s">
        <v>35</v>
      </c>
      <c r="E6" s="53"/>
      <c r="F6" s="55">
        <f t="shared" si="0"/>
        <v>0</v>
      </c>
      <c r="G6" s="15" t="s">
        <v>25</v>
      </c>
      <c r="H6" s="21"/>
      <c r="I6" s="130"/>
      <c r="J6" s="118"/>
    </row>
    <row r="7" spans="1:10" ht="29" x14ac:dyDescent="0.35">
      <c r="A7" s="128" t="s">
        <v>36</v>
      </c>
      <c r="B7" s="112" t="s">
        <v>37</v>
      </c>
      <c r="C7" s="15" t="s">
        <v>38</v>
      </c>
      <c r="D7" s="15" t="s">
        <v>28</v>
      </c>
      <c r="E7" s="53">
        <v>18</v>
      </c>
      <c r="F7" s="55">
        <f t="shared" si="0"/>
        <v>2</v>
      </c>
      <c r="G7" s="15" t="s">
        <v>29</v>
      </c>
      <c r="H7" s="21"/>
      <c r="I7" s="119">
        <f>SUM(E7:E13)</f>
        <v>126</v>
      </c>
      <c r="J7" s="122">
        <f>ROUND(I7/45,2)</f>
        <v>2.8</v>
      </c>
    </row>
    <row r="8" spans="1:10" ht="29" x14ac:dyDescent="0.35">
      <c r="A8" s="123"/>
      <c r="B8" s="113"/>
      <c r="C8" s="15" t="s">
        <v>39</v>
      </c>
      <c r="D8" s="24" t="s">
        <v>28</v>
      </c>
      <c r="E8" s="55">
        <v>9</v>
      </c>
      <c r="F8" s="55">
        <f t="shared" si="0"/>
        <v>1</v>
      </c>
      <c r="G8" s="21" t="s">
        <v>29</v>
      </c>
      <c r="H8" s="21"/>
      <c r="I8" s="120"/>
      <c r="J8" s="117"/>
    </row>
    <row r="9" spans="1:10" ht="29" x14ac:dyDescent="0.35">
      <c r="A9" s="123"/>
      <c r="B9" s="113"/>
      <c r="C9" s="16" t="s">
        <v>40</v>
      </c>
      <c r="D9" s="21" t="s">
        <v>28</v>
      </c>
      <c r="E9" s="55">
        <v>18</v>
      </c>
      <c r="F9" s="55">
        <f t="shared" si="0"/>
        <v>2</v>
      </c>
      <c r="G9" s="21" t="s">
        <v>29</v>
      </c>
      <c r="H9" s="15"/>
      <c r="I9" s="120"/>
      <c r="J9" s="117"/>
    </row>
    <row r="10" spans="1:10" ht="29" x14ac:dyDescent="0.35">
      <c r="A10" s="123"/>
      <c r="B10" s="113"/>
      <c r="C10" s="16" t="s">
        <v>41</v>
      </c>
      <c r="D10" s="21" t="s">
        <v>28</v>
      </c>
      <c r="E10" s="55">
        <v>36</v>
      </c>
      <c r="F10" s="55">
        <f t="shared" si="0"/>
        <v>4</v>
      </c>
      <c r="G10" s="21" t="s">
        <v>29</v>
      </c>
      <c r="H10" s="15"/>
      <c r="I10" s="120"/>
      <c r="J10" s="117"/>
    </row>
    <row r="11" spans="1:10" ht="29" x14ac:dyDescent="0.35">
      <c r="A11" s="123"/>
      <c r="B11" s="131"/>
      <c r="C11" s="16" t="s">
        <v>42</v>
      </c>
      <c r="D11" s="15" t="s">
        <v>28</v>
      </c>
      <c r="E11" s="53">
        <v>45</v>
      </c>
      <c r="F11" s="55">
        <f t="shared" si="0"/>
        <v>5</v>
      </c>
      <c r="G11" s="15" t="s">
        <v>29</v>
      </c>
      <c r="H11" s="21"/>
      <c r="I11" s="120"/>
      <c r="J11" s="117"/>
    </row>
    <row r="12" spans="1:10" ht="29" x14ac:dyDescent="0.35">
      <c r="A12" s="123"/>
      <c r="B12" s="18" t="s">
        <v>43</v>
      </c>
      <c r="C12" s="15" t="s">
        <v>34</v>
      </c>
      <c r="D12" s="15" t="s">
        <v>35</v>
      </c>
      <c r="E12" s="53"/>
      <c r="F12" s="55">
        <f t="shared" si="0"/>
        <v>0</v>
      </c>
      <c r="G12" s="15" t="s">
        <v>25</v>
      </c>
      <c r="H12" s="30"/>
      <c r="I12" s="120"/>
      <c r="J12" s="117"/>
    </row>
    <row r="13" spans="1:10" ht="29" x14ac:dyDescent="0.35">
      <c r="A13" s="123"/>
      <c r="B13" s="18" t="s">
        <v>44</v>
      </c>
      <c r="C13" s="15" t="s">
        <v>45</v>
      </c>
      <c r="D13" s="15" t="s">
        <v>35</v>
      </c>
      <c r="E13" s="55"/>
      <c r="F13" s="55">
        <f t="shared" si="0"/>
        <v>0</v>
      </c>
      <c r="G13" s="21" t="s">
        <v>25</v>
      </c>
      <c r="H13" s="21"/>
      <c r="I13" s="121"/>
      <c r="J13" s="118"/>
    </row>
    <row r="14" spans="1:10" x14ac:dyDescent="0.35">
      <c r="A14" s="84" t="s">
        <v>46</v>
      </c>
      <c r="B14" s="71" t="s">
        <v>47</v>
      </c>
      <c r="C14" s="61" t="s">
        <v>48</v>
      </c>
      <c r="D14" s="51" t="s">
        <v>49</v>
      </c>
      <c r="E14" s="54">
        <v>9</v>
      </c>
      <c r="F14" s="54">
        <f t="shared" si="0"/>
        <v>1</v>
      </c>
      <c r="G14" s="51"/>
      <c r="H14" s="51" t="s">
        <v>29</v>
      </c>
      <c r="I14" s="58">
        <f>E14</f>
        <v>9</v>
      </c>
      <c r="J14" s="70">
        <f>ROUND(I14/45,2)</f>
        <v>0.2</v>
      </c>
    </row>
    <row r="15" spans="1:10" ht="29" x14ac:dyDescent="0.35">
      <c r="A15" s="128" t="s">
        <v>50</v>
      </c>
      <c r="B15" s="112" t="s">
        <v>51</v>
      </c>
      <c r="C15" s="16" t="s">
        <v>52</v>
      </c>
      <c r="D15" s="15" t="s">
        <v>28</v>
      </c>
      <c r="E15" s="53">
        <v>72</v>
      </c>
      <c r="F15" s="55">
        <f t="shared" si="0"/>
        <v>8</v>
      </c>
      <c r="G15" s="35" t="s">
        <v>29</v>
      </c>
      <c r="H15" s="15"/>
      <c r="I15" s="119">
        <f>SUM(E15:E20)</f>
        <v>135</v>
      </c>
      <c r="J15" s="122">
        <f>ROUND(I15/45,2)</f>
        <v>3</v>
      </c>
    </row>
    <row r="16" spans="1:10" ht="29" x14ac:dyDescent="0.35">
      <c r="A16" s="123"/>
      <c r="B16" s="113"/>
      <c r="C16" s="16" t="s">
        <v>53</v>
      </c>
      <c r="D16" s="15" t="s">
        <v>28</v>
      </c>
      <c r="E16" s="53">
        <v>45</v>
      </c>
      <c r="F16" s="55">
        <f t="shared" si="0"/>
        <v>5</v>
      </c>
      <c r="G16" s="15" t="s">
        <v>29</v>
      </c>
      <c r="H16" s="15"/>
      <c r="I16" s="120"/>
      <c r="J16" s="117"/>
    </row>
    <row r="17" spans="1:10" x14ac:dyDescent="0.35">
      <c r="A17" s="123"/>
      <c r="B17" s="113"/>
      <c r="C17" s="16" t="s">
        <v>54</v>
      </c>
      <c r="D17" s="15" t="s">
        <v>55</v>
      </c>
      <c r="E17" s="53">
        <v>9</v>
      </c>
      <c r="F17" s="55">
        <f t="shared" si="0"/>
        <v>1</v>
      </c>
      <c r="G17" s="15" t="s">
        <v>29</v>
      </c>
      <c r="H17" s="15"/>
      <c r="I17" s="120"/>
      <c r="J17" s="117"/>
    </row>
    <row r="18" spans="1:10" ht="29" x14ac:dyDescent="0.35">
      <c r="A18" s="123"/>
      <c r="B18" s="131"/>
      <c r="C18" s="15" t="s">
        <v>56</v>
      </c>
      <c r="D18" s="15" t="s">
        <v>28</v>
      </c>
      <c r="E18" s="53">
        <v>9</v>
      </c>
      <c r="F18" s="55">
        <f t="shared" si="0"/>
        <v>1</v>
      </c>
      <c r="G18" s="15" t="s">
        <v>29</v>
      </c>
      <c r="H18" s="15"/>
      <c r="I18" s="120"/>
      <c r="J18" s="117"/>
    </row>
    <row r="19" spans="1:10" ht="29" x14ac:dyDescent="0.35">
      <c r="A19" s="123"/>
      <c r="B19" s="18" t="s">
        <v>57</v>
      </c>
      <c r="C19" s="15" t="s">
        <v>58</v>
      </c>
      <c r="D19" s="15" t="s">
        <v>35</v>
      </c>
      <c r="E19" s="53"/>
      <c r="F19" s="55">
        <f t="shared" si="0"/>
        <v>0</v>
      </c>
      <c r="G19" s="15" t="s">
        <v>25</v>
      </c>
      <c r="H19" s="15"/>
      <c r="I19" s="120"/>
      <c r="J19" s="117"/>
    </row>
    <row r="20" spans="1:10" ht="29" x14ac:dyDescent="0.35">
      <c r="A20" s="123"/>
      <c r="B20" s="18" t="s">
        <v>59</v>
      </c>
      <c r="C20" s="15" t="s">
        <v>60</v>
      </c>
      <c r="D20" s="15" t="s">
        <v>35</v>
      </c>
      <c r="E20" s="53"/>
      <c r="F20" s="55">
        <f t="shared" si="0"/>
        <v>0</v>
      </c>
      <c r="G20" s="15" t="s">
        <v>25</v>
      </c>
      <c r="H20" s="15"/>
      <c r="I20" s="121"/>
      <c r="J20" s="118"/>
    </row>
    <row r="21" spans="1:10" ht="29" x14ac:dyDescent="0.35">
      <c r="A21" s="132" t="s">
        <v>61</v>
      </c>
      <c r="B21" s="113" t="s">
        <v>62</v>
      </c>
      <c r="C21" s="15" t="s">
        <v>63</v>
      </c>
      <c r="D21" s="24" t="s">
        <v>28</v>
      </c>
      <c r="E21" s="55">
        <v>18</v>
      </c>
      <c r="F21" s="55">
        <f t="shared" si="0"/>
        <v>2</v>
      </c>
      <c r="G21" s="15" t="s">
        <v>29</v>
      </c>
      <c r="H21" s="15"/>
      <c r="I21" s="119">
        <f>SUM(E21:E24)</f>
        <v>32</v>
      </c>
      <c r="J21" s="122">
        <f>ROUND(I21/45,2)</f>
        <v>0.71</v>
      </c>
    </row>
    <row r="22" spans="1:10" ht="29" x14ac:dyDescent="0.35">
      <c r="A22" s="132"/>
      <c r="B22" s="113"/>
      <c r="C22" s="15" t="s">
        <v>64</v>
      </c>
      <c r="D22" s="18" t="s">
        <v>28</v>
      </c>
      <c r="E22" s="53">
        <v>5</v>
      </c>
      <c r="F22" s="55">
        <f t="shared" si="0"/>
        <v>0.56000000000000005</v>
      </c>
      <c r="G22" s="15" t="s">
        <v>29</v>
      </c>
      <c r="H22" s="15"/>
      <c r="I22" s="120"/>
      <c r="J22" s="117"/>
    </row>
    <row r="23" spans="1:10" ht="29" x14ac:dyDescent="0.35">
      <c r="A23" s="132"/>
      <c r="B23" s="131"/>
      <c r="C23" s="15" t="s">
        <v>65</v>
      </c>
      <c r="D23" s="15" t="s">
        <v>28</v>
      </c>
      <c r="E23" s="53">
        <v>9</v>
      </c>
      <c r="F23" s="55">
        <f t="shared" si="0"/>
        <v>1</v>
      </c>
      <c r="G23" s="15" t="s">
        <v>29</v>
      </c>
      <c r="H23" s="15"/>
      <c r="I23" s="120"/>
      <c r="J23" s="117"/>
    </row>
    <row r="24" spans="1:10" ht="29" x14ac:dyDescent="0.35">
      <c r="A24" s="132"/>
      <c r="B24" s="18" t="s">
        <v>66</v>
      </c>
      <c r="C24" s="15" t="s">
        <v>67</v>
      </c>
      <c r="D24" s="15" t="s">
        <v>35</v>
      </c>
      <c r="E24" s="15"/>
      <c r="F24" s="55">
        <f t="shared" si="0"/>
        <v>0</v>
      </c>
      <c r="G24" s="15" t="s">
        <v>25</v>
      </c>
      <c r="H24" s="15"/>
      <c r="I24" s="121"/>
      <c r="J24" s="118"/>
    </row>
    <row r="25" spans="1:10" ht="29" x14ac:dyDescent="0.35">
      <c r="A25" s="123" t="s">
        <v>68</v>
      </c>
      <c r="B25" s="16" t="s">
        <v>69</v>
      </c>
      <c r="C25" s="16" t="s">
        <v>70</v>
      </c>
      <c r="D25" s="15" t="s">
        <v>28</v>
      </c>
      <c r="E25" s="53">
        <v>9</v>
      </c>
      <c r="F25" s="55">
        <f t="shared" si="0"/>
        <v>1</v>
      </c>
      <c r="G25" s="15" t="s">
        <v>29</v>
      </c>
      <c r="H25" s="15"/>
      <c r="I25" s="120">
        <f>SUM(E25:E26)</f>
        <v>36</v>
      </c>
      <c r="J25" s="117">
        <f>ROUND(I25/45,2)</f>
        <v>0.8</v>
      </c>
    </row>
    <row r="26" spans="1:10" ht="29" x14ac:dyDescent="0.35">
      <c r="A26" s="123"/>
      <c r="B26" s="75" t="s">
        <v>71</v>
      </c>
      <c r="C26" s="16" t="s">
        <v>72</v>
      </c>
      <c r="D26" s="15" t="s">
        <v>28</v>
      </c>
      <c r="E26" s="53">
        <v>27</v>
      </c>
      <c r="F26" s="55">
        <f t="shared" si="0"/>
        <v>3</v>
      </c>
      <c r="G26" s="15" t="s">
        <v>29</v>
      </c>
      <c r="H26" s="15"/>
      <c r="I26" s="121"/>
      <c r="J26" s="118"/>
    </row>
    <row r="27" spans="1:10" x14ac:dyDescent="0.35">
      <c r="A27" s="124" t="s">
        <v>46</v>
      </c>
      <c r="B27" s="72" t="s">
        <v>73</v>
      </c>
      <c r="C27" s="61" t="s">
        <v>48</v>
      </c>
      <c r="D27" s="51" t="s">
        <v>49</v>
      </c>
      <c r="E27" s="54">
        <v>27</v>
      </c>
      <c r="F27" s="54">
        <f t="shared" si="0"/>
        <v>3</v>
      </c>
      <c r="G27" s="51"/>
      <c r="H27" s="51" t="s">
        <v>29</v>
      </c>
      <c r="I27" s="119">
        <f>SUM(E27:E28)</f>
        <v>27</v>
      </c>
      <c r="J27" s="126">
        <f>ROUND(I27/45,2)</f>
        <v>0.6</v>
      </c>
    </row>
    <row r="28" spans="1:10" x14ac:dyDescent="0.35">
      <c r="A28" s="125"/>
      <c r="B28" s="85" t="s">
        <v>74</v>
      </c>
      <c r="C28" s="86" t="s">
        <v>75</v>
      </c>
      <c r="D28" s="87" t="s">
        <v>76</v>
      </c>
      <c r="E28" s="88"/>
      <c r="F28" s="88"/>
      <c r="G28" s="87"/>
      <c r="H28" s="87" t="s">
        <v>29</v>
      </c>
      <c r="I28" s="121"/>
      <c r="J28" s="127"/>
    </row>
    <row r="29" spans="1:10" x14ac:dyDescent="0.35">
      <c r="A29" s="128" t="s">
        <v>77</v>
      </c>
      <c r="B29" s="15" t="s">
        <v>78</v>
      </c>
      <c r="C29" s="15" t="s">
        <v>79</v>
      </c>
      <c r="D29" s="15" t="s">
        <v>80</v>
      </c>
      <c r="E29" s="53">
        <v>39</v>
      </c>
      <c r="F29" s="53">
        <f t="shared" ref="F29:F35" si="1">ROUND(E29/9,2)</f>
        <v>4.33</v>
      </c>
      <c r="G29" s="15" t="s">
        <v>29</v>
      </c>
      <c r="H29" s="15"/>
      <c r="I29" s="56">
        <v>40</v>
      </c>
      <c r="J29" s="57">
        <f>ROUND(I29/45,2)</f>
        <v>0.89</v>
      </c>
    </row>
    <row r="30" spans="1:10" x14ac:dyDescent="0.35">
      <c r="A30" s="123"/>
      <c r="B30" s="15" t="s">
        <v>81</v>
      </c>
      <c r="C30" s="15" t="s">
        <v>82</v>
      </c>
      <c r="D30" s="15" t="s">
        <v>83</v>
      </c>
      <c r="E30" s="53">
        <v>5</v>
      </c>
      <c r="F30" s="53">
        <f t="shared" si="1"/>
        <v>0.56000000000000005</v>
      </c>
      <c r="G30" s="15" t="s">
        <v>25</v>
      </c>
      <c r="H30" s="15"/>
      <c r="I30" s="56">
        <f>E30</f>
        <v>5</v>
      </c>
      <c r="J30" s="57">
        <f>ROUND(I30/45,2)</f>
        <v>0.11</v>
      </c>
    </row>
    <row r="31" spans="1:10" ht="29" x14ac:dyDescent="0.35">
      <c r="A31" s="123"/>
      <c r="B31" s="15" t="s">
        <v>84</v>
      </c>
      <c r="C31" s="15" t="s">
        <v>85</v>
      </c>
      <c r="D31" s="15" t="s">
        <v>83</v>
      </c>
      <c r="E31" s="53">
        <v>1</v>
      </c>
      <c r="F31" s="53">
        <f t="shared" si="1"/>
        <v>0.11</v>
      </c>
      <c r="G31" s="15" t="s">
        <v>25</v>
      </c>
      <c r="H31" s="15"/>
      <c r="I31" s="56">
        <f>E31</f>
        <v>1</v>
      </c>
      <c r="J31" s="57">
        <f>ROUND(I31/45,2)</f>
        <v>0.02</v>
      </c>
    </row>
    <row r="32" spans="1:10" ht="30.75" customHeight="1" x14ac:dyDescent="0.35">
      <c r="A32" s="123"/>
      <c r="B32" s="112" t="s">
        <v>86</v>
      </c>
      <c r="C32" s="112" t="s">
        <v>87</v>
      </c>
      <c r="D32" s="102" t="s">
        <v>88</v>
      </c>
      <c r="E32" s="53">
        <v>4</v>
      </c>
      <c r="F32" s="53">
        <f t="shared" si="1"/>
        <v>0.44</v>
      </c>
      <c r="G32" s="15"/>
      <c r="H32" s="15"/>
      <c r="I32" s="56">
        <f t="shared" ref="I32:I34" si="2">E32</f>
        <v>4</v>
      </c>
      <c r="J32" s="57">
        <f t="shared" ref="J32:J34" si="3">ROUND(I32/45,2)</f>
        <v>0.09</v>
      </c>
    </row>
    <row r="33" spans="1:10" x14ac:dyDescent="0.35">
      <c r="A33" s="123"/>
      <c r="B33" s="113"/>
      <c r="C33" s="113"/>
      <c r="D33" s="103" t="s">
        <v>80</v>
      </c>
      <c r="E33" s="53">
        <v>2</v>
      </c>
      <c r="F33" s="53">
        <f t="shared" si="1"/>
        <v>0.22</v>
      </c>
      <c r="G33" s="15"/>
      <c r="H33" s="15"/>
      <c r="I33" s="56">
        <f t="shared" si="2"/>
        <v>2</v>
      </c>
      <c r="J33" s="57">
        <f t="shared" si="3"/>
        <v>0.04</v>
      </c>
    </row>
    <row r="34" spans="1:10" x14ac:dyDescent="0.35">
      <c r="A34" s="123"/>
      <c r="B34" s="131"/>
      <c r="C34" s="131"/>
      <c r="D34" s="103" t="s">
        <v>55</v>
      </c>
      <c r="E34" s="53">
        <v>12</v>
      </c>
      <c r="F34" s="53">
        <f t="shared" si="1"/>
        <v>1.33</v>
      </c>
      <c r="G34" s="15"/>
      <c r="H34" s="15"/>
      <c r="I34" s="56">
        <f t="shared" si="2"/>
        <v>12</v>
      </c>
      <c r="J34" s="57">
        <f t="shared" si="3"/>
        <v>0.27</v>
      </c>
    </row>
    <row r="35" spans="1:10" x14ac:dyDescent="0.35">
      <c r="A35" s="129"/>
      <c r="B35" s="15" t="s">
        <v>89</v>
      </c>
      <c r="C35" s="15" t="s">
        <v>90</v>
      </c>
      <c r="D35" s="15" t="s">
        <v>80</v>
      </c>
      <c r="E35" s="53">
        <v>12</v>
      </c>
      <c r="F35" s="53">
        <f t="shared" si="1"/>
        <v>1.33</v>
      </c>
      <c r="G35" s="15" t="s">
        <v>25</v>
      </c>
      <c r="H35" s="15"/>
      <c r="I35" s="58">
        <f>E35</f>
        <v>12</v>
      </c>
      <c r="J35" s="57">
        <f>ROUND(I35/45,2)</f>
        <v>0.27</v>
      </c>
    </row>
    <row r="36" spans="1:10" ht="43.5" x14ac:dyDescent="0.35">
      <c r="A36" s="78" t="s">
        <v>91</v>
      </c>
      <c r="B36" s="79"/>
      <c r="C36" s="79"/>
      <c r="D36" s="79"/>
      <c r="E36" s="79"/>
      <c r="F36" s="79"/>
      <c r="G36" s="79"/>
      <c r="H36" s="80"/>
      <c r="I36" s="59">
        <f>SUM(I2:I35)</f>
        <v>612</v>
      </c>
      <c r="J36" s="60">
        <f>ROUND(I36/45,2)</f>
        <v>13.6</v>
      </c>
    </row>
    <row r="37" spans="1:10" x14ac:dyDescent="0.35">
      <c r="A37" s="66" t="s">
        <v>92</v>
      </c>
      <c r="B37" s="73"/>
      <c r="C37" s="66"/>
      <c r="D37" s="66"/>
      <c r="E37" s="66"/>
      <c r="F37" s="66"/>
      <c r="G37" s="66"/>
      <c r="H37" s="66"/>
      <c r="I37" s="66"/>
      <c r="J37" s="67"/>
    </row>
    <row r="38" spans="1:10" ht="29" x14ac:dyDescent="0.35">
      <c r="A38" s="46" t="s">
        <v>93</v>
      </c>
      <c r="B38" s="26" t="s">
        <v>94</v>
      </c>
      <c r="C38" s="21" t="s">
        <v>95</v>
      </c>
      <c r="D38" s="74" t="s">
        <v>83</v>
      </c>
      <c r="E38" s="81"/>
      <c r="F38" s="82"/>
      <c r="G38" s="81"/>
      <c r="H38" s="14"/>
      <c r="I38" s="81"/>
      <c r="J38" s="68"/>
    </row>
    <row r="39" spans="1:10" ht="29" x14ac:dyDescent="0.35">
      <c r="A39" s="47"/>
      <c r="B39" s="16"/>
      <c r="C39" s="15" t="s">
        <v>96</v>
      </c>
      <c r="D39" s="23" t="s">
        <v>83</v>
      </c>
      <c r="E39" s="83"/>
      <c r="F39" s="89"/>
      <c r="G39" s="83"/>
      <c r="H39" s="16"/>
      <c r="I39" s="83"/>
      <c r="J39" s="69"/>
    </row>
  </sheetData>
  <autoFilter ref="A1:J1" xr:uid="{FCFC5543-DC60-403B-AED9-739254EE574D}"/>
  <mergeCells count="25">
    <mergeCell ref="A29:A35"/>
    <mergeCell ref="I2:I6"/>
    <mergeCell ref="A7:A13"/>
    <mergeCell ref="B7:B11"/>
    <mergeCell ref="A15:A20"/>
    <mergeCell ref="B15:B18"/>
    <mergeCell ref="B21:B23"/>
    <mergeCell ref="A21:A24"/>
    <mergeCell ref="B4:B5"/>
    <mergeCell ref="I15:I20"/>
    <mergeCell ref="I21:I24"/>
    <mergeCell ref="I25:I26"/>
    <mergeCell ref="I27:I28"/>
    <mergeCell ref="B32:B34"/>
    <mergeCell ref="C32:C34"/>
    <mergeCell ref="J2:J6"/>
    <mergeCell ref="I7:I13"/>
    <mergeCell ref="J7:J13"/>
    <mergeCell ref="A25:A26"/>
    <mergeCell ref="A27:A28"/>
    <mergeCell ref="J15:J20"/>
    <mergeCell ref="J21:J24"/>
    <mergeCell ref="J25:J26"/>
    <mergeCell ref="J27:J28"/>
    <mergeCell ref="A2:A6"/>
  </mergeCells>
  <pageMargins left="0.7" right="0.7" top="0.75" bottom="0.75" header="0.3" footer="0.3"/>
  <pageSetup orientation="portrait" r:id="rId1"/>
  <ignoredErrors>
    <ignoredError sqref="I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B6ACD-8A3D-4BDF-9BCC-CD8B5B6366FE}">
  <sheetPr>
    <tabColor rgb="FFFF0000"/>
  </sheetPr>
  <dimension ref="A1:H9"/>
  <sheetViews>
    <sheetView showGridLines="0" topLeftCell="B1" workbookViewId="0">
      <pane ySplit="1" topLeftCell="A4" activePane="bottomLeft" state="frozen"/>
      <selection pane="bottomLeft" activeCell="D4" sqref="D4"/>
    </sheetView>
  </sheetViews>
  <sheetFormatPr defaultRowHeight="14.5" x14ac:dyDescent="0.35"/>
  <cols>
    <col min="1" max="1" width="9.54296875" bestFit="1" customWidth="1"/>
    <col min="2" max="2" width="34" customWidth="1"/>
    <col min="3" max="3" width="17.1796875" bestFit="1" customWidth="1"/>
    <col min="4" max="4" width="38" bestFit="1" customWidth="1"/>
    <col min="5" max="5" width="22.7265625" bestFit="1" customWidth="1"/>
    <col min="6" max="6" width="32.26953125" customWidth="1"/>
    <col min="7" max="7" width="35.7265625" customWidth="1"/>
    <col min="8" max="8" width="26.54296875" bestFit="1" customWidth="1"/>
  </cols>
  <sheetData>
    <row r="1" spans="1:8" s="45" customFormat="1" ht="20.149999999999999" customHeight="1" x14ac:dyDescent="0.35">
      <c r="A1" s="100" t="s">
        <v>97</v>
      </c>
      <c r="B1" s="100" t="s">
        <v>98</v>
      </c>
      <c r="C1" s="100" t="s">
        <v>99</v>
      </c>
      <c r="D1" s="101" t="s">
        <v>100</v>
      </c>
      <c r="E1" s="101" t="s">
        <v>101</v>
      </c>
      <c r="F1" s="101" t="s">
        <v>102</v>
      </c>
      <c r="G1" s="101" t="s">
        <v>103</v>
      </c>
      <c r="H1" s="101" t="s">
        <v>104</v>
      </c>
    </row>
    <row r="2" spans="1:8" ht="29" x14ac:dyDescent="0.35">
      <c r="A2" s="133" t="s">
        <v>105</v>
      </c>
      <c r="B2" s="91" t="s">
        <v>106</v>
      </c>
      <c r="C2" s="91" t="s">
        <v>107</v>
      </c>
      <c r="D2" s="92" t="s">
        <v>108</v>
      </c>
      <c r="E2" s="93" t="s">
        <v>109</v>
      </c>
      <c r="F2" s="93" t="s">
        <v>110</v>
      </c>
      <c r="G2" s="93" t="s">
        <v>93</v>
      </c>
      <c r="H2" s="93" t="s">
        <v>111</v>
      </c>
    </row>
    <row r="3" spans="1:8" ht="145" x14ac:dyDescent="0.35">
      <c r="A3" s="134"/>
      <c r="B3" s="40" t="s">
        <v>112</v>
      </c>
      <c r="C3" s="65" t="s">
        <v>113</v>
      </c>
      <c r="D3" s="40" t="s">
        <v>114</v>
      </c>
      <c r="E3" s="40" t="s">
        <v>115</v>
      </c>
      <c r="F3" s="40" t="s">
        <v>116</v>
      </c>
      <c r="G3" s="40" t="s">
        <v>117</v>
      </c>
      <c r="H3" s="40" t="s">
        <v>118</v>
      </c>
    </row>
    <row r="4" spans="1:8" ht="217.5" x14ac:dyDescent="0.35">
      <c r="A4" s="65" t="s">
        <v>119</v>
      </c>
      <c r="B4" s="65" t="s">
        <v>120</v>
      </c>
      <c r="C4" s="65" t="s">
        <v>121</v>
      </c>
      <c r="D4" s="40" t="s">
        <v>122</v>
      </c>
      <c r="E4" s="40" t="s">
        <v>123</v>
      </c>
      <c r="F4" s="40" t="s">
        <v>124</v>
      </c>
      <c r="G4" s="40" t="s">
        <v>125</v>
      </c>
      <c r="H4" s="40" t="s">
        <v>126</v>
      </c>
    </row>
    <row r="5" spans="1:8" ht="29" x14ac:dyDescent="0.35">
      <c r="A5" s="76" t="s">
        <v>127</v>
      </c>
      <c r="B5" s="76" t="s">
        <v>47</v>
      </c>
      <c r="C5" s="76" t="s">
        <v>128</v>
      </c>
      <c r="D5" s="77" t="s">
        <v>129</v>
      </c>
      <c r="E5" s="77"/>
      <c r="F5" s="77"/>
      <c r="G5" s="77"/>
      <c r="H5" s="76"/>
    </row>
    <row r="6" spans="1:8" ht="130.5" x14ac:dyDescent="0.35">
      <c r="A6" s="65" t="s">
        <v>130</v>
      </c>
      <c r="B6" s="40" t="s">
        <v>131</v>
      </c>
      <c r="C6" s="65" t="s">
        <v>132</v>
      </c>
      <c r="D6" s="40" t="s">
        <v>133</v>
      </c>
      <c r="E6" s="40" t="s">
        <v>134</v>
      </c>
      <c r="F6" s="40" t="s">
        <v>135</v>
      </c>
      <c r="G6" s="40" t="s">
        <v>136</v>
      </c>
      <c r="H6" s="40" t="s">
        <v>137</v>
      </c>
    </row>
    <row r="7" spans="1:8" ht="87" x14ac:dyDescent="0.35">
      <c r="A7" s="65" t="s">
        <v>138</v>
      </c>
      <c r="B7" s="65" t="s">
        <v>139</v>
      </c>
      <c r="C7" s="65" t="s">
        <v>140</v>
      </c>
      <c r="D7" s="40" t="s">
        <v>141</v>
      </c>
      <c r="E7" s="40" t="s">
        <v>142</v>
      </c>
      <c r="F7" s="40" t="s">
        <v>143</v>
      </c>
      <c r="G7" s="40" t="s">
        <v>144</v>
      </c>
      <c r="H7" s="40" t="s">
        <v>145</v>
      </c>
    </row>
    <row r="8" spans="1:8" ht="87" x14ac:dyDescent="0.35">
      <c r="A8" s="65" t="s">
        <v>146</v>
      </c>
      <c r="B8" s="65" t="s">
        <v>147</v>
      </c>
      <c r="C8" s="65" t="s">
        <v>148</v>
      </c>
      <c r="D8" s="40" t="s">
        <v>149</v>
      </c>
      <c r="E8" s="40" t="s">
        <v>150</v>
      </c>
      <c r="F8" s="40" t="s">
        <v>151</v>
      </c>
      <c r="G8" s="40" t="s">
        <v>152</v>
      </c>
      <c r="H8" s="40" t="s">
        <v>153</v>
      </c>
    </row>
    <row r="9" spans="1:8" ht="29" x14ac:dyDescent="0.35">
      <c r="A9" s="76" t="s">
        <v>154</v>
      </c>
      <c r="B9" s="76" t="s">
        <v>73</v>
      </c>
      <c r="C9" s="76" t="s">
        <v>155</v>
      </c>
      <c r="D9" s="77" t="s">
        <v>156</v>
      </c>
      <c r="E9" s="77"/>
      <c r="F9" s="77"/>
      <c r="G9" s="77"/>
      <c r="H9" s="76"/>
    </row>
  </sheetData>
  <mergeCells count="1">
    <mergeCell ref="A2:A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election activeCell="J14" sqref="J14"/>
    </sheetView>
  </sheetViews>
  <sheetFormatPr defaultRowHeight="14.5" x14ac:dyDescent="0.35"/>
  <cols>
    <col min="1" max="1" width="17.81640625" bestFit="1" customWidth="1"/>
    <col min="2" max="2" width="22.81640625" customWidth="1"/>
    <col min="3" max="3" width="12.26953125" bestFit="1" customWidth="1"/>
    <col min="4" max="4" width="15.7265625" bestFit="1" customWidth="1"/>
    <col min="5" max="5" width="27.54296875" bestFit="1" customWidth="1"/>
    <col min="6" max="6" width="13.453125" bestFit="1" customWidth="1"/>
    <col min="7" max="7" width="17" bestFit="1" customWidth="1"/>
  </cols>
  <sheetData>
    <row r="1" spans="1:7" x14ac:dyDescent="0.35">
      <c r="A1" s="6" t="s">
        <v>157</v>
      </c>
      <c r="B1" s="6" t="s">
        <v>158</v>
      </c>
      <c r="C1" s="6" t="s">
        <v>159</v>
      </c>
      <c r="D1" s="6" t="s">
        <v>160</v>
      </c>
      <c r="E1" s="6" t="s">
        <v>161</v>
      </c>
      <c r="F1" s="7" t="s">
        <v>162</v>
      </c>
      <c r="G1" s="7" t="s">
        <v>163</v>
      </c>
    </row>
    <row r="2" spans="1:7" x14ac:dyDescent="0.35">
      <c r="A2" s="136" t="s">
        <v>164</v>
      </c>
      <c r="B2" s="8" t="s">
        <v>164</v>
      </c>
      <c r="C2" s="8" t="s">
        <v>165</v>
      </c>
      <c r="D2" s="9" t="s">
        <v>166</v>
      </c>
      <c r="E2" s="9"/>
      <c r="F2" s="9"/>
      <c r="G2" s="9"/>
    </row>
    <row r="3" spans="1:7" x14ac:dyDescent="0.35">
      <c r="A3" s="138"/>
      <c r="B3" s="136" t="s">
        <v>167</v>
      </c>
      <c r="C3" s="8" t="s">
        <v>165</v>
      </c>
      <c r="D3" s="9" t="s">
        <v>168</v>
      </c>
      <c r="E3" s="9"/>
      <c r="F3" s="9"/>
      <c r="G3" s="9"/>
    </row>
    <row r="4" spans="1:7" x14ac:dyDescent="0.35">
      <c r="A4" s="137"/>
      <c r="B4" s="137"/>
      <c r="C4" s="8" t="s">
        <v>165</v>
      </c>
      <c r="D4" s="9" t="s">
        <v>169</v>
      </c>
      <c r="E4" s="9"/>
      <c r="F4" s="9"/>
      <c r="G4" s="9"/>
    </row>
    <row r="5" spans="1:7" x14ac:dyDescent="0.35">
      <c r="A5" s="136" t="s">
        <v>170</v>
      </c>
      <c r="B5" s="136" t="s">
        <v>171</v>
      </c>
      <c r="C5" s="136" t="s">
        <v>165</v>
      </c>
      <c r="D5" s="9" t="s">
        <v>172</v>
      </c>
      <c r="E5" s="9"/>
      <c r="F5" s="9"/>
      <c r="G5" s="9"/>
    </row>
    <row r="6" spans="1:7" x14ac:dyDescent="0.35">
      <c r="A6" s="138"/>
      <c r="B6" s="137"/>
      <c r="C6" s="137"/>
      <c r="D6" s="9" t="s">
        <v>173</v>
      </c>
      <c r="E6" s="9"/>
      <c r="F6" s="9"/>
      <c r="G6" s="9"/>
    </row>
    <row r="7" spans="1:7" x14ac:dyDescent="0.35">
      <c r="A7" s="138"/>
      <c r="B7" s="8" t="s">
        <v>174</v>
      </c>
      <c r="C7" s="8" t="s">
        <v>165</v>
      </c>
      <c r="D7" s="9" t="s">
        <v>175</v>
      </c>
      <c r="E7" s="9"/>
      <c r="F7" s="9"/>
      <c r="G7" s="9"/>
    </row>
    <row r="8" spans="1:7" x14ac:dyDescent="0.35">
      <c r="A8" s="137"/>
      <c r="B8" s="10" t="s">
        <v>176</v>
      </c>
      <c r="C8" s="10" t="s">
        <v>165</v>
      </c>
      <c r="D8" s="9"/>
      <c r="E8" s="9"/>
      <c r="F8" s="9"/>
      <c r="G8" s="9" t="s">
        <v>177</v>
      </c>
    </row>
    <row r="9" spans="1:7" x14ac:dyDescent="0.35">
      <c r="A9" s="136" t="s">
        <v>178</v>
      </c>
      <c r="B9" s="10" t="s">
        <v>179</v>
      </c>
      <c r="C9" s="10" t="s">
        <v>165</v>
      </c>
      <c r="D9" s="9"/>
      <c r="E9" s="9"/>
      <c r="F9" s="9" t="s">
        <v>180</v>
      </c>
      <c r="G9" s="9"/>
    </row>
    <row r="10" spans="1:7" x14ac:dyDescent="0.35">
      <c r="A10" s="138"/>
      <c r="B10" s="8" t="s">
        <v>181</v>
      </c>
      <c r="C10" s="8" t="s">
        <v>165</v>
      </c>
      <c r="D10" s="9" t="s">
        <v>182</v>
      </c>
      <c r="E10" s="9" t="s">
        <v>183</v>
      </c>
      <c r="F10" s="9"/>
      <c r="G10" s="9"/>
    </row>
    <row r="11" spans="1:7" ht="29" x14ac:dyDescent="0.35">
      <c r="A11" s="137"/>
      <c r="B11" s="8" t="s">
        <v>184</v>
      </c>
      <c r="C11" s="8" t="s">
        <v>165</v>
      </c>
      <c r="D11" s="9"/>
      <c r="E11" s="9"/>
      <c r="F11" s="11" t="s">
        <v>185</v>
      </c>
      <c r="G11" s="9"/>
    </row>
    <row r="12" spans="1:7" x14ac:dyDescent="0.35">
      <c r="A12" s="136" t="s">
        <v>186</v>
      </c>
      <c r="B12" s="10" t="s">
        <v>187</v>
      </c>
      <c r="C12" s="10" t="s">
        <v>165</v>
      </c>
      <c r="D12" s="9" t="s">
        <v>188</v>
      </c>
      <c r="E12" s="9"/>
      <c r="F12" s="9"/>
      <c r="G12" s="9"/>
    </row>
    <row r="13" spans="1:7" x14ac:dyDescent="0.35">
      <c r="A13" s="137"/>
      <c r="B13" s="8" t="s">
        <v>189</v>
      </c>
      <c r="C13" s="8" t="s">
        <v>165</v>
      </c>
      <c r="D13" s="9"/>
      <c r="E13" s="9" t="s">
        <v>190</v>
      </c>
      <c r="F13" s="9"/>
      <c r="G13" s="9"/>
    </row>
    <row r="14" spans="1:7" x14ac:dyDescent="0.35">
      <c r="A14" s="136" t="s">
        <v>191</v>
      </c>
      <c r="B14" s="136" t="s">
        <v>192</v>
      </c>
      <c r="C14" s="136" t="s">
        <v>165</v>
      </c>
      <c r="D14" s="9" t="s">
        <v>193</v>
      </c>
      <c r="E14" s="9"/>
      <c r="F14" s="9"/>
      <c r="G14" s="11" t="s">
        <v>194</v>
      </c>
    </row>
    <row r="15" spans="1:7" ht="43.5" x14ac:dyDescent="0.35">
      <c r="A15" s="138"/>
      <c r="B15" s="137"/>
      <c r="C15" s="137"/>
      <c r="D15" s="9"/>
      <c r="E15" s="9"/>
      <c r="F15" s="11" t="s">
        <v>195</v>
      </c>
      <c r="G15" s="9"/>
    </row>
    <row r="16" spans="1:7" x14ac:dyDescent="0.35">
      <c r="A16" s="138"/>
      <c r="B16" s="8" t="s">
        <v>196</v>
      </c>
      <c r="C16" s="8" t="s">
        <v>165</v>
      </c>
      <c r="D16" s="135" t="s">
        <v>197</v>
      </c>
      <c r="E16" s="135"/>
      <c r="F16" s="135"/>
      <c r="G16" s="135"/>
    </row>
    <row r="17" spans="1:7" x14ac:dyDescent="0.35">
      <c r="A17" s="138"/>
      <c r="B17" s="10" t="s">
        <v>198</v>
      </c>
      <c r="C17" s="10" t="s">
        <v>165</v>
      </c>
      <c r="D17" s="9"/>
      <c r="E17" s="9" t="s">
        <v>63</v>
      </c>
      <c r="F17" s="9"/>
      <c r="G17" s="9"/>
    </row>
    <row r="18" spans="1:7" x14ac:dyDescent="0.35">
      <c r="A18" s="137"/>
      <c r="B18" s="8" t="s">
        <v>199</v>
      </c>
      <c r="C18" s="8" t="s">
        <v>165</v>
      </c>
      <c r="D18" s="9"/>
      <c r="E18" s="9" t="s">
        <v>200</v>
      </c>
      <c r="F18" s="9"/>
      <c r="G18" s="9"/>
    </row>
    <row r="19" spans="1:7" x14ac:dyDescent="0.35">
      <c r="A19" s="136" t="s">
        <v>201</v>
      </c>
      <c r="B19" s="12" t="s">
        <v>202</v>
      </c>
      <c r="C19" s="136" t="s">
        <v>165</v>
      </c>
      <c r="D19" s="9"/>
      <c r="E19" s="9" t="s">
        <v>203</v>
      </c>
      <c r="F19" s="9"/>
      <c r="G19" s="9"/>
    </row>
    <row r="20" spans="1:7" ht="29" x14ac:dyDescent="0.35">
      <c r="A20" s="137"/>
      <c r="B20" s="13" t="s">
        <v>204</v>
      </c>
      <c r="C20" s="137"/>
      <c r="D20" s="9"/>
      <c r="E20" s="11" t="s">
        <v>205</v>
      </c>
      <c r="F20" s="9"/>
      <c r="G20" s="9"/>
    </row>
    <row r="21" spans="1:7" x14ac:dyDescent="0.35">
      <c r="A21" s="139" t="s">
        <v>206</v>
      </c>
      <c r="B21" s="12" t="s">
        <v>207</v>
      </c>
      <c r="C21" s="8" t="s">
        <v>165</v>
      </c>
      <c r="D21" s="9"/>
      <c r="E21" s="9"/>
      <c r="F21" s="9"/>
      <c r="G21" s="9" t="s">
        <v>208</v>
      </c>
    </row>
    <row r="22" spans="1:7" x14ac:dyDescent="0.35">
      <c r="A22" s="139"/>
      <c r="B22" s="12" t="s">
        <v>69</v>
      </c>
      <c r="C22" s="8" t="s">
        <v>165</v>
      </c>
      <c r="D22" s="9"/>
      <c r="E22" s="9"/>
      <c r="F22" s="9"/>
      <c r="G22" s="9" t="s">
        <v>209</v>
      </c>
    </row>
  </sheetData>
  <mergeCells count="14">
    <mergeCell ref="A21:A22"/>
    <mergeCell ref="A12:A13"/>
    <mergeCell ref="A14:A18"/>
    <mergeCell ref="B14:B15"/>
    <mergeCell ref="C14:C15"/>
    <mergeCell ref="D16:G16"/>
    <mergeCell ref="A19:A20"/>
    <mergeCell ref="C19:C20"/>
    <mergeCell ref="A2:A4"/>
    <mergeCell ref="B3:B4"/>
    <mergeCell ref="A5:A8"/>
    <mergeCell ref="B5:B6"/>
    <mergeCell ref="C5:C6"/>
    <mergeCell ref="A9:A11"/>
  </mergeCell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6"/>
  <sheetViews>
    <sheetView showGridLines="0" workbookViewId="0">
      <pane ySplit="1" topLeftCell="A2" activePane="bottomLeft" state="frozen"/>
      <selection pane="bottomLeft" activeCell="D2" sqref="D2"/>
    </sheetView>
  </sheetViews>
  <sheetFormatPr defaultRowHeight="14.5" x14ac:dyDescent="0.35"/>
  <cols>
    <col min="1" max="1" width="20.7265625" customWidth="1"/>
    <col min="2" max="2" width="100.7265625" customWidth="1"/>
  </cols>
  <sheetData>
    <row r="1" spans="1:2" s="45" customFormat="1" ht="15.5" x14ac:dyDescent="0.35">
      <c r="A1" s="48" t="s">
        <v>210</v>
      </c>
      <c r="B1" s="48" t="s">
        <v>211</v>
      </c>
    </row>
    <row r="2" spans="1:2" ht="145" x14ac:dyDescent="0.35">
      <c r="A2" s="46" t="s">
        <v>212</v>
      </c>
      <c r="B2" s="14" t="s">
        <v>213</v>
      </c>
    </row>
    <row r="3" spans="1:2" ht="116" x14ac:dyDescent="0.35">
      <c r="A3" s="46" t="s">
        <v>36</v>
      </c>
      <c r="B3" s="14" t="s">
        <v>214</v>
      </c>
    </row>
    <row r="4" spans="1:2" ht="43.5" x14ac:dyDescent="0.35">
      <c r="A4" s="47" t="s">
        <v>50</v>
      </c>
      <c r="B4" s="16" t="s">
        <v>215</v>
      </c>
    </row>
    <row r="5" spans="1:2" ht="58" x14ac:dyDescent="0.35">
      <c r="A5" s="47" t="s">
        <v>61</v>
      </c>
      <c r="B5" s="97" t="s">
        <v>216</v>
      </c>
    </row>
    <row r="6" spans="1:2" ht="29" x14ac:dyDescent="0.35">
      <c r="A6" s="47" t="s">
        <v>68</v>
      </c>
      <c r="B6" s="97" t="s">
        <v>217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FED7-49F4-4CE7-90A1-9CBF5EF81822}">
  <sheetPr>
    <tabColor rgb="FFC00000"/>
  </sheetPr>
  <dimension ref="A1:D31"/>
  <sheetViews>
    <sheetView showGridLines="0" workbookViewId="0">
      <pane ySplit="1" topLeftCell="A2" activePane="bottomLeft" state="frozen"/>
      <selection pane="bottomLeft" activeCell="C8" sqref="C8"/>
    </sheetView>
  </sheetViews>
  <sheetFormatPr defaultColWidth="9.1796875" defaultRowHeight="14.5" x14ac:dyDescent="0.35"/>
  <cols>
    <col min="1" max="1" width="20.7265625" style="35" customWidth="1"/>
    <col min="2" max="2" width="30.7265625" style="95" customWidth="1"/>
    <col min="3" max="3" width="50.7265625" style="35" customWidth="1"/>
    <col min="4" max="16384" width="9.1796875" style="35"/>
  </cols>
  <sheetData>
    <row r="1" spans="1:4" s="45" customFormat="1" ht="20.149999999999999" customHeight="1" x14ac:dyDescent="0.35">
      <c r="A1" s="48" t="s">
        <v>13</v>
      </c>
      <c r="B1" s="48" t="s">
        <v>218</v>
      </c>
      <c r="C1" s="48" t="s">
        <v>219</v>
      </c>
    </row>
    <row r="2" spans="1:4" s="94" customFormat="1" ht="31" x14ac:dyDescent="0.35">
      <c r="A2" s="140" t="s">
        <v>220</v>
      </c>
      <c r="B2" s="62" t="s">
        <v>221</v>
      </c>
      <c r="C2" s="62" t="s">
        <v>222</v>
      </c>
    </row>
    <row r="3" spans="1:4" s="94" customFormat="1" ht="46.5" x14ac:dyDescent="0.35">
      <c r="A3" s="141"/>
      <c r="B3" s="62" t="s">
        <v>223</v>
      </c>
      <c r="C3" s="62" t="s">
        <v>224</v>
      </c>
    </row>
    <row r="4" spans="1:4" s="94" customFormat="1" ht="77.5" x14ac:dyDescent="0.35">
      <c r="A4" s="141"/>
      <c r="B4" s="62" t="s">
        <v>225</v>
      </c>
      <c r="C4" s="62" t="s">
        <v>226</v>
      </c>
      <c r="D4" s="94" t="s">
        <v>543</v>
      </c>
    </row>
    <row r="5" spans="1:4" s="94" customFormat="1" ht="46.5" x14ac:dyDescent="0.35">
      <c r="A5" s="141"/>
      <c r="B5" s="62" t="s">
        <v>227</v>
      </c>
      <c r="C5" s="62" t="s">
        <v>228</v>
      </c>
    </row>
    <row r="6" spans="1:4" s="94" customFormat="1" ht="31" x14ac:dyDescent="0.35">
      <c r="A6" s="141"/>
      <c r="B6" s="62" t="s">
        <v>229</v>
      </c>
      <c r="C6" s="62" t="s">
        <v>230</v>
      </c>
    </row>
    <row r="7" spans="1:4" s="94" customFormat="1" ht="31" x14ac:dyDescent="0.35">
      <c r="A7" s="142"/>
      <c r="B7" s="62" t="s">
        <v>231</v>
      </c>
      <c r="C7" s="62" t="s">
        <v>232</v>
      </c>
    </row>
    <row r="8" spans="1:4" s="94" customFormat="1" ht="15.5" x14ac:dyDescent="0.35">
      <c r="A8" s="140" t="s">
        <v>208</v>
      </c>
      <c r="B8" s="15" t="s">
        <v>233</v>
      </c>
      <c r="C8" s="111" t="s">
        <v>545</v>
      </c>
    </row>
    <row r="9" spans="1:4" s="94" customFormat="1" ht="43.5" x14ac:dyDescent="0.35">
      <c r="A9" s="141"/>
      <c r="B9" s="15" t="s">
        <v>234</v>
      </c>
      <c r="C9" s="15" t="s">
        <v>235</v>
      </c>
    </row>
    <row r="10" spans="1:4" s="94" customFormat="1" ht="58" x14ac:dyDescent="0.35">
      <c r="A10" s="141"/>
      <c r="B10" s="15" t="s">
        <v>236</v>
      </c>
      <c r="C10" s="15" t="s">
        <v>237</v>
      </c>
    </row>
    <row r="11" spans="1:4" s="94" customFormat="1" ht="87" x14ac:dyDescent="0.35">
      <c r="A11" s="141"/>
      <c r="B11" s="15" t="s">
        <v>238</v>
      </c>
      <c r="C11" s="15" t="s">
        <v>239</v>
      </c>
    </row>
    <row r="12" spans="1:4" s="94" customFormat="1" ht="72.5" x14ac:dyDescent="0.35">
      <c r="A12" s="141"/>
      <c r="B12" s="15" t="s">
        <v>240</v>
      </c>
      <c r="C12" s="15" t="s">
        <v>241</v>
      </c>
    </row>
    <row r="13" spans="1:4" s="94" customFormat="1" ht="72.5" x14ac:dyDescent="0.35">
      <c r="A13" s="141"/>
      <c r="B13" s="15" t="s">
        <v>242</v>
      </c>
      <c r="C13" s="15" t="s">
        <v>243</v>
      </c>
    </row>
    <row r="14" spans="1:4" s="94" customFormat="1" ht="58" x14ac:dyDescent="0.35">
      <c r="A14" s="142"/>
      <c r="B14" s="15" t="s">
        <v>244</v>
      </c>
      <c r="C14" s="15" t="s">
        <v>245</v>
      </c>
    </row>
    <row r="15" spans="1:4" ht="58" x14ac:dyDescent="0.35">
      <c r="A15" s="133" t="s">
        <v>31</v>
      </c>
      <c r="B15" s="31" t="s">
        <v>246</v>
      </c>
      <c r="C15" s="25" t="s">
        <v>247</v>
      </c>
    </row>
    <row r="16" spans="1:4" ht="58" x14ac:dyDescent="0.35">
      <c r="A16" s="143"/>
      <c r="B16" s="33" t="s">
        <v>248</v>
      </c>
      <c r="C16" s="110" t="s">
        <v>544</v>
      </c>
    </row>
    <row r="17" spans="1:3" ht="72.5" x14ac:dyDescent="0.35">
      <c r="A17" s="143"/>
      <c r="B17" s="32" t="s">
        <v>249</v>
      </c>
      <c r="C17" s="33" t="s">
        <v>250</v>
      </c>
    </row>
    <row r="18" spans="1:3" ht="58" x14ac:dyDescent="0.35">
      <c r="A18" s="143"/>
      <c r="B18" s="32" t="s">
        <v>251</v>
      </c>
      <c r="C18" s="33" t="s">
        <v>252</v>
      </c>
    </row>
    <row r="19" spans="1:3" ht="87" x14ac:dyDescent="0.35">
      <c r="A19" s="143"/>
      <c r="B19" s="32" t="s">
        <v>253</v>
      </c>
      <c r="C19" s="33" t="s">
        <v>254</v>
      </c>
    </row>
    <row r="20" spans="1:3" ht="29" x14ac:dyDescent="0.35">
      <c r="A20" s="143"/>
      <c r="B20" s="32" t="s">
        <v>255</v>
      </c>
      <c r="C20" s="33" t="s">
        <v>256</v>
      </c>
    </row>
    <row r="21" spans="1:3" ht="43.5" x14ac:dyDescent="0.35">
      <c r="A21" s="143"/>
      <c r="B21" s="32" t="s">
        <v>257</v>
      </c>
      <c r="C21" s="33" t="s">
        <v>258</v>
      </c>
    </row>
    <row r="22" spans="1:3" ht="43.5" x14ac:dyDescent="0.35">
      <c r="A22" s="143"/>
      <c r="B22" s="32" t="s">
        <v>259</v>
      </c>
      <c r="C22" s="33" t="s">
        <v>260</v>
      </c>
    </row>
    <row r="23" spans="1:3" ht="87" x14ac:dyDescent="0.35">
      <c r="A23" s="143"/>
      <c r="B23" s="32" t="s">
        <v>261</v>
      </c>
      <c r="C23" s="33" t="s">
        <v>262</v>
      </c>
    </row>
    <row r="24" spans="1:3" ht="29" x14ac:dyDescent="0.35">
      <c r="A24" s="143"/>
      <c r="B24" s="32" t="s">
        <v>263</v>
      </c>
      <c r="C24" s="33" t="s">
        <v>264</v>
      </c>
    </row>
    <row r="25" spans="1:3" ht="29" x14ac:dyDescent="0.35">
      <c r="A25" s="143"/>
      <c r="B25" s="32" t="s">
        <v>265</v>
      </c>
      <c r="C25" s="33" t="s">
        <v>266</v>
      </c>
    </row>
    <row r="26" spans="1:3" ht="29" x14ac:dyDescent="0.35">
      <c r="A26" s="143"/>
      <c r="B26" s="39" t="s">
        <v>267</v>
      </c>
      <c r="C26" s="16" t="s">
        <v>268</v>
      </c>
    </row>
    <row r="27" spans="1:3" ht="58" x14ac:dyDescent="0.35">
      <c r="A27" s="143"/>
      <c r="B27" s="39" t="s">
        <v>269</v>
      </c>
      <c r="C27" s="16" t="s">
        <v>270</v>
      </c>
    </row>
    <row r="28" spans="1:3" ht="58" x14ac:dyDescent="0.35">
      <c r="A28" s="143"/>
      <c r="B28" s="39" t="s">
        <v>271</v>
      </c>
      <c r="C28" s="16" t="s">
        <v>272</v>
      </c>
    </row>
    <row r="29" spans="1:3" ht="58" x14ac:dyDescent="0.35">
      <c r="A29" s="143"/>
      <c r="B29" s="39" t="s">
        <v>273</v>
      </c>
      <c r="C29" s="16" t="s">
        <v>274</v>
      </c>
    </row>
    <row r="30" spans="1:3" ht="43.5" x14ac:dyDescent="0.35">
      <c r="A30" s="144" t="s">
        <v>32</v>
      </c>
      <c r="B30" s="37" t="s">
        <v>275</v>
      </c>
      <c r="C30" s="19" t="s">
        <v>276</v>
      </c>
    </row>
    <row r="31" spans="1:3" ht="43.5" x14ac:dyDescent="0.35">
      <c r="A31" s="144"/>
      <c r="B31" s="38" t="s">
        <v>277</v>
      </c>
      <c r="C31" s="36" t="s">
        <v>278</v>
      </c>
    </row>
  </sheetData>
  <mergeCells count="4">
    <mergeCell ref="A2:A7"/>
    <mergeCell ref="A8:A14"/>
    <mergeCell ref="A15:A29"/>
    <mergeCell ref="A30:A3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9A2A-593A-4F8D-8634-5685BE346144}">
  <sheetPr>
    <tabColor rgb="FF00B050"/>
  </sheetPr>
  <dimension ref="A1:C38"/>
  <sheetViews>
    <sheetView showGridLines="0" workbookViewId="0">
      <pane ySplit="1" topLeftCell="A31" activePane="bottomLeft" state="frozen"/>
      <selection pane="bottomLeft" activeCell="C5" sqref="C5"/>
    </sheetView>
  </sheetViews>
  <sheetFormatPr defaultRowHeight="14.5" x14ac:dyDescent="0.35"/>
  <cols>
    <col min="1" max="1" width="20.7265625" customWidth="1"/>
    <col min="2" max="2" width="30.7265625" customWidth="1"/>
    <col min="3" max="3" width="50.7265625" customWidth="1"/>
    <col min="6" max="6" width="34.1796875" customWidth="1"/>
  </cols>
  <sheetData>
    <row r="1" spans="1:3" s="45" customFormat="1" ht="20.149999999999999" customHeight="1" x14ac:dyDescent="0.35">
      <c r="A1" s="49" t="s">
        <v>13</v>
      </c>
      <c r="B1" s="49" t="s">
        <v>218</v>
      </c>
      <c r="C1" s="49" t="s">
        <v>219</v>
      </c>
    </row>
    <row r="2" spans="1:3" ht="43.5" x14ac:dyDescent="0.35">
      <c r="A2" s="145" t="s">
        <v>38</v>
      </c>
      <c r="B2" s="15" t="s">
        <v>279</v>
      </c>
      <c r="C2" s="15" t="s">
        <v>280</v>
      </c>
    </row>
    <row r="3" spans="1:3" ht="43.5" x14ac:dyDescent="0.35">
      <c r="A3" s="146"/>
      <c r="B3" s="14" t="s">
        <v>281</v>
      </c>
      <c r="C3" s="14" t="s">
        <v>282</v>
      </c>
    </row>
    <row r="4" spans="1:3" ht="72.5" x14ac:dyDescent="0.35">
      <c r="A4" s="15" t="s">
        <v>283</v>
      </c>
      <c r="B4" s="15" t="s">
        <v>39</v>
      </c>
      <c r="C4" s="15" t="s">
        <v>284</v>
      </c>
    </row>
    <row r="5" spans="1:3" ht="43.5" x14ac:dyDescent="0.35">
      <c r="A5" s="112" t="s">
        <v>40</v>
      </c>
      <c r="B5" s="25" t="s">
        <v>285</v>
      </c>
      <c r="C5" s="16" t="s">
        <v>286</v>
      </c>
    </row>
    <row r="6" spans="1:3" ht="58" x14ac:dyDescent="0.35">
      <c r="A6" s="113"/>
      <c r="B6" s="26" t="s">
        <v>287</v>
      </c>
      <c r="C6" s="14" t="s">
        <v>288</v>
      </c>
    </row>
    <row r="7" spans="1:3" ht="87" x14ac:dyDescent="0.35">
      <c r="A7" s="113"/>
      <c r="B7" s="26" t="s">
        <v>289</v>
      </c>
      <c r="C7" s="14" t="s">
        <v>290</v>
      </c>
    </row>
    <row r="8" spans="1:3" ht="188.5" x14ac:dyDescent="0.35">
      <c r="A8" s="113"/>
      <c r="B8" s="21" t="s">
        <v>291</v>
      </c>
      <c r="C8" s="14" t="s">
        <v>292</v>
      </c>
    </row>
    <row r="9" spans="1:3" ht="116" x14ac:dyDescent="0.35">
      <c r="A9" s="113"/>
      <c r="B9" s="24" t="s">
        <v>293</v>
      </c>
      <c r="C9" s="14" t="s">
        <v>294</v>
      </c>
    </row>
    <row r="10" spans="1:3" ht="58" x14ac:dyDescent="0.35">
      <c r="A10" s="113"/>
      <c r="B10" s="18" t="s">
        <v>295</v>
      </c>
      <c r="C10" s="16" t="s">
        <v>296</v>
      </c>
    </row>
    <row r="11" spans="1:3" ht="72.5" x14ac:dyDescent="0.35">
      <c r="A11" s="131"/>
      <c r="B11" s="27" t="s">
        <v>297</v>
      </c>
      <c r="C11" s="16" t="s">
        <v>298</v>
      </c>
    </row>
    <row r="12" spans="1:3" ht="29" x14ac:dyDescent="0.35">
      <c r="A12" s="112" t="s">
        <v>41</v>
      </c>
      <c r="B12" s="29" t="s">
        <v>299</v>
      </c>
      <c r="C12" s="19" t="s">
        <v>300</v>
      </c>
    </row>
    <row r="13" spans="1:3" ht="43.5" x14ac:dyDescent="0.35">
      <c r="A13" s="113"/>
      <c r="B13" s="29" t="s">
        <v>301</v>
      </c>
      <c r="C13" s="19" t="s">
        <v>302</v>
      </c>
    </row>
    <row r="14" spans="1:3" ht="43.5" x14ac:dyDescent="0.35">
      <c r="A14" s="113"/>
      <c r="B14" s="29" t="s">
        <v>303</v>
      </c>
      <c r="C14" s="19" t="s">
        <v>304</v>
      </c>
    </row>
    <row r="15" spans="1:3" ht="58" x14ac:dyDescent="0.35">
      <c r="A15" s="113"/>
      <c r="B15" s="29" t="s">
        <v>305</v>
      </c>
      <c r="C15" s="19" t="s">
        <v>306</v>
      </c>
    </row>
    <row r="16" spans="1:3" ht="58" x14ac:dyDescent="0.35">
      <c r="A16" s="113"/>
      <c r="B16" s="29" t="s">
        <v>307</v>
      </c>
      <c r="C16" s="19" t="s">
        <v>308</v>
      </c>
    </row>
    <row r="17" spans="1:3" ht="29" x14ac:dyDescent="0.35">
      <c r="A17" s="113"/>
      <c r="B17" s="29" t="s">
        <v>309</v>
      </c>
      <c r="C17" s="19" t="s">
        <v>310</v>
      </c>
    </row>
    <row r="18" spans="1:3" ht="43.5" x14ac:dyDescent="0.35">
      <c r="A18" s="113"/>
      <c r="B18" s="29" t="s">
        <v>311</v>
      </c>
      <c r="C18" s="19" t="s">
        <v>312</v>
      </c>
    </row>
    <row r="19" spans="1:3" ht="58" x14ac:dyDescent="0.35">
      <c r="A19" s="113"/>
      <c r="B19" s="29" t="s">
        <v>313</v>
      </c>
      <c r="C19" s="19" t="s">
        <v>314</v>
      </c>
    </row>
    <row r="20" spans="1:3" ht="29" x14ac:dyDescent="0.35">
      <c r="A20" s="113"/>
      <c r="B20" s="15" t="s">
        <v>285</v>
      </c>
      <c r="C20" s="15" t="s">
        <v>315</v>
      </c>
    </row>
    <row r="21" spans="1:3" ht="29" x14ac:dyDescent="0.35">
      <c r="A21" s="113"/>
      <c r="B21" s="15" t="s">
        <v>316</v>
      </c>
      <c r="C21" s="15" t="s">
        <v>317</v>
      </c>
    </row>
    <row r="22" spans="1:3" ht="72.5" x14ac:dyDescent="0.35">
      <c r="A22" s="113"/>
      <c r="B22" s="15" t="s">
        <v>318</v>
      </c>
      <c r="C22" s="15" t="s">
        <v>319</v>
      </c>
    </row>
    <row r="23" spans="1:3" ht="29" x14ac:dyDescent="0.35">
      <c r="A23" s="113"/>
      <c r="B23" s="15" t="s">
        <v>320</v>
      </c>
      <c r="C23" s="15" t="s">
        <v>321</v>
      </c>
    </row>
    <row r="24" spans="1:3" ht="72.5" x14ac:dyDescent="0.35">
      <c r="A24" s="113"/>
      <c r="B24" s="15" t="s">
        <v>322</v>
      </c>
      <c r="C24" s="15" t="s">
        <v>323</v>
      </c>
    </row>
    <row r="25" spans="1:3" ht="43.5" x14ac:dyDescent="0.35">
      <c r="A25" s="113"/>
      <c r="B25" s="15" t="s">
        <v>324</v>
      </c>
      <c r="C25" s="15" t="s">
        <v>325</v>
      </c>
    </row>
    <row r="26" spans="1:3" ht="29" x14ac:dyDescent="0.35">
      <c r="A26" s="131"/>
      <c r="B26" s="15" t="s">
        <v>326</v>
      </c>
      <c r="C26" s="15" t="s">
        <v>327</v>
      </c>
    </row>
    <row r="27" spans="1:3" ht="43.5" x14ac:dyDescent="0.35">
      <c r="A27" s="112" t="s">
        <v>42</v>
      </c>
      <c r="B27" s="29" t="s">
        <v>328</v>
      </c>
      <c r="C27" s="36" t="s">
        <v>329</v>
      </c>
    </row>
    <row r="28" spans="1:3" ht="43.5" x14ac:dyDescent="0.35">
      <c r="A28" s="113"/>
      <c r="B28" s="20" t="s">
        <v>330</v>
      </c>
      <c r="C28" s="34" t="s">
        <v>331</v>
      </c>
    </row>
    <row r="29" spans="1:3" ht="29" x14ac:dyDescent="0.35">
      <c r="A29" s="113"/>
      <c r="B29" s="29" t="s">
        <v>332</v>
      </c>
      <c r="C29" s="19" t="s">
        <v>333</v>
      </c>
    </row>
    <row r="30" spans="1:3" ht="29" x14ac:dyDescent="0.35">
      <c r="A30" s="113"/>
      <c r="B30" s="29" t="s">
        <v>334</v>
      </c>
      <c r="C30" s="19" t="s">
        <v>335</v>
      </c>
    </row>
    <row r="31" spans="1:3" ht="43.5" x14ac:dyDescent="0.35">
      <c r="A31" s="113"/>
      <c r="B31" s="29" t="s">
        <v>336</v>
      </c>
      <c r="C31" s="19" t="s">
        <v>337</v>
      </c>
    </row>
    <row r="32" spans="1:3" ht="29" x14ac:dyDescent="0.35">
      <c r="A32" s="113"/>
      <c r="B32" s="29" t="s">
        <v>338</v>
      </c>
      <c r="C32" s="19" t="s">
        <v>339</v>
      </c>
    </row>
    <row r="33" spans="1:3" ht="43.5" x14ac:dyDescent="0.35">
      <c r="A33" s="113"/>
      <c r="B33" s="29" t="s">
        <v>340</v>
      </c>
      <c r="C33" s="19" t="s">
        <v>341</v>
      </c>
    </row>
    <row r="34" spans="1:3" ht="43.5" x14ac:dyDescent="0.35">
      <c r="A34" s="113"/>
      <c r="B34" s="29" t="s">
        <v>342</v>
      </c>
      <c r="C34" s="19" t="s">
        <v>343</v>
      </c>
    </row>
    <row r="35" spans="1:3" ht="43.5" x14ac:dyDescent="0.35">
      <c r="A35" s="113"/>
      <c r="B35" s="29" t="s">
        <v>344</v>
      </c>
      <c r="C35" s="19" t="s">
        <v>345</v>
      </c>
    </row>
    <row r="36" spans="1:3" ht="43.5" x14ac:dyDescent="0.35">
      <c r="A36" s="113"/>
      <c r="B36" s="29" t="s">
        <v>346</v>
      </c>
      <c r="C36" s="19" t="s">
        <v>347</v>
      </c>
    </row>
    <row r="37" spans="1:3" ht="29" x14ac:dyDescent="0.35">
      <c r="A37" s="113"/>
      <c r="B37" s="29" t="s">
        <v>348</v>
      </c>
      <c r="C37" s="19" t="s">
        <v>349</v>
      </c>
    </row>
    <row r="38" spans="1:3" ht="43.5" x14ac:dyDescent="0.35">
      <c r="A38" s="131"/>
      <c r="B38" s="29" t="s">
        <v>350</v>
      </c>
      <c r="C38" s="19" t="s">
        <v>351</v>
      </c>
    </row>
  </sheetData>
  <mergeCells count="4">
    <mergeCell ref="A5:A11"/>
    <mergeCell ref="A12:A26"/>
    <mergeCell ref="A2:A3"/>
    <mergeCell ref="A27:A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9985-5E1A-4D35-AEBC-78830341CB19}">
  <sheetPr>
    <tabColor rgb="FF00B0F0"/>
  </sheetPr>
  <dimension ref="A1:C16"/>
  <sheetViews>
    <sheetView showGridLines="0" workbookViewId="0">
      <pane ySplit="1" topLeftCell="A16" activePane="bottomLeft" state="frozen"/>
      <selection pane="bottomLeft" activeCell="C3" sqref="C3"/>
    </sheetView>
  </sheetViews>
  <sheetFormatPr defaultColWidth="8.7265625" defaultRowHeight="14.5" x14ac:dyDescent="0.35"/>
  <cols>
    <col min="1" max="1" width="25.1796875" style="35" customWidth="1"/>
    <col min="2" max="2" width="34" style="35" customWidth="1"/>
    <col min="3" max="3" width="38.453125" style="35" customWidth="1"/>
    <col min="4" max="16384" width="8.7265625" style="35"/>
  </cols>
  <sheetData>
    <row r="1" spans="1:3" s="96" customFormat="1" ht="20.149999999999999" customHeight="1" x14ac:dyDescent="0.35">
      <c r="A1" s="49" t="s">
        <v>13</v>
      </c>
      <c r="B1" s="49" t="s">
        <v>218</v>
      </c>
      <c r="C1" s="49" t="s">
        <v>219</v>
      </c>
    </row>
    <row r="2" spans="1:3" ht="58" x14ac:dyDescent="0.35">
      <c r="A2" s="112" t="s">
        <v>352</v>
      </c>
      <c r="B2" s="29" t="s">
        <v>353</v>
      </c>
      <c r="C2" s="15" t="s">
        <v>354</v>
      </c>
    </row>
    <row r="3" spans="1:3" ht="43.5" x14ac:dyDescent="0.35">
      <c r="A3" s="113"/>
      <c r="B3" s="29" t="s">
        <v>355</v>
      </c>
      <c r="C3" s="15" t="s">
        <v>356</v>
      </c>
    </row>
    <row r="4" spans="1:3" ht="58" x14ac:dyDescent="0.35">
      <c r="A4" s="113"/>
      <c r="B4" s="29" t="s">
        <v>357</v>
      </c>
      <c r="C4" s="15" t="s">
        <v>358</v>
      </c>
    </row>
    <row r="5" spans="1:3" ht="43.5" x14ac:dyDescent="0.35">
      <c r="A5" s="113"/>
      <c r="B5" s="29" t="s">
        <v>359</v>
      </c>
      <c r="C5" s="15" t="s">
        <v>360</v>
      </c>
    </row>
    <row r="6" spans="1:3" ht="43.5" x14ac:dyDescent="0.35">
      <c r="A6" s="113"/>
      <c r="B6" s="29" t="s">
        <v>361</v>
      </c>
      <c r="C6" s="15" t="s">
        <v>362</v>
      </c>
    </row>
    <row r="7" spans="1:3" ht="58" x14ac:dyDescent="0.35">
      <c r="A7" s="113"/>
      <c r="B7" s="29" t="s">
        <v>363</v>
      </c>
      <c r="C7" s="15" t="s">
        <v>364</v>
      </c>
    </row>
    <row r="8" spans="1:3" ht="58" x14ac:dyDescent="0.35">
      <c r="A8" s="114" t="s">
        <v>53</v>
      </c>
      <c r="B8" s="15" t="s">
        <v>365</v>
      </c>
      <c r="C8" s="15" t="s">
        <v>366</v>
      </c>
    </row>
    <row r="9" spans="1:3" ht="130.5" x14ac:dyDescent="0.35">
      <c r="A9" s="114"/>
      <c r="B9" s="15" t="s">
        <v>367</v>
      </c>
      <c r="C9" s="15" t="s">
        <v>368</v>
      </c>
    </row>
    <row r="10" spans="1:3" ht="188.5" x14ac:dyDescent="0.35">
      <c r="A10" s="114"/>
      <c r="B10" s="15" t="s">
        <v>369</v>
      </c>
      <c r="C10" s="15" t="s">
        <v>370</v>
      </c>
    </row>
    <row r="11" spans="1:3" ht="43.5" x14ac:dyDescent="0.35">
      <c r="A11" s="114" t="s">
        <v>371</v>
      </c>
      <c r="B11" s="15" t="s">
        <v>372</v>
      </c>
      <c r="C11" s="15" t="s">
        <v>373</v>
      </c>
    </row>
    <row r="12" spans="1:3" ht="101.5" x14ac:dyDescent="0.35">
      <c r="A12" s="114"/>
      <c r="B12" s="23" t="s">
        <v>374</v>
      </c>
      <c r="C12" s="15" t="s">
        <v>375</v>
      </c>
    </row>
    <row r="13" spans="1:3" ht="87" x14ac:dyDescent="0.35">
      <c r="A13" s="114"/>
      <c r="B13" s="23" t="s">
        <v>376</v>
      </c>
      <c r="C13" s="15" t="s">
        <v>377</v>
      </c>
    </row>
    <row r="14" spans="1:3" ht="87" x14ac:dyDescent="0.35">
      <c r="A14" s="114"/>
      <c r="B14" s="23" t="s">
        <v>378</v>
      </c>
      <c r="C14" s="15" t="s">
        <v>379</v>
      </c>
    </row>
    <row r="15" spans="1:3" ht="87" x14ac:dyDescent="0.35">
      <c r="A15" s="114"/>
      <c r="B15" s="23" t="s">
        <v>380</v>
      </c>
      <c r="C15" s="15" t="s">
        <v>381</v>
      </c>
    </row>
    <row r="16" spans="1:3" ht="87" x14ac:dyDescent="0.35">
      <c r="A16" s="114"/>
      <c r="B16" s="23" t="s">
        <v>382</v>
      </c>
      <c r="C16" s="15" t="s">
        <v>383</v>
      </c>
    </row>
  </sheetData>
  <mergeCells count="3">
    <mergeCell ref="A2:A7"/>
    <mergeCell ref="A8:A10"/>
    <mergeCell ref="A11:A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C4AA-419D-49B1-B6B6-C761978A265C}">
  <sheetPr>
    <tabColor theme="5" tint="-0.249977111117893"/>
  </sheetPr>
  <dimension ref="A1:C21"/>
  <sheetViews>
    <sheetView showGridLines="0" tabSelected="1" workbookViewId="0">
      <pane ySplit="1" topLeftCell="A13" activePane="bottomLeft" state="frozen"/>
      <selection pane="bottomLeft" activeCell="F10" sqref="F10"/>
    </sheetView>
  </sheetViews>
  <sheetFormatPr defaultColWidth="8.7265625" defaultRowHeight="14.5" x14ac:dyDescent="0.35"/>
  <cols>
    <col min="1" max="1" width="17.1796875" style="35" bestFit="1" customWidth="1"/>
    <col min="2" max="2" width="44" style="35" customWidth="1"/>
    <col min="3" max="3" width="46.1796875" style="35" customWidth="1"/>
    <col min="4" max="16384" width="8.7265625" style="35"/>
  </cols>
  <sheetData>
    <row r="1" spans="1:3" s="99" customFormat="1" ht="20.149999999999999" customHeight="1" x14ac:dyDescent="0.35">
      <c r="A1" s="49" t="s">
        <v>13</v>
      </c>
      <c r="B1" s="49" t="s">
        <v>218</v>
      </c>
      <c r="C1" s="49" t="s">
        <v>219</v>
      </c>
    </row>
    <row r="2" spans="1:3" ht="58" x14ac:dyDescent="0.35">
      <c r="A2" s="147" t="s">
        <v>63</v>
      </c>
      <c r="B2" s="28" t="s">
        <v>285</v>
      </c>
      <c r="C2" s="98" t="s">
        <v>384</v>
      </c>
    </row>
    <row r="3" spans="1:3" ht="58" x14ac:dyDescent="0.35">
      <c r="A3" s="148"/>
      <c r="B3" s="29" t="s">
        <v>385</v>
      </c>
      <c r="C3" s="19" t="s">
        <v>386</v>
      </c>
    </row>
    <row r="4" spans="1:3" ht="58" x14ac:dyDescent="0.35">
      <c r="A4" s="148"/>
      <c r="B4" s="29" t="s">
        <v>387</v>
      </c>
      <c r="C4" s="19" t="s">
        <v>388</v>
      </c>
    </row>
    <row r="5" spans="1:3" ht="116" x14ac:dyDescent="0.35">
      <c r="A5" s="149"/>
      <c r="B5" s="5" t="s">
        <v>389</v>
      </c>
      <c r="C5" s="19" t="s">
        <v>390</v>
      </c>
    </row>
    <row r="6" spans="1:3" ht="29" x14ac:dyDescent="0.35">
      <c r="A6" s="112" t="s">
        <v>64</v>
      </c>
      <c r="B6" s="15" t="s">
        <v>391</v>
      </c>
      <c r="C6" s="15" t="s">
        <v>392</v>
      </c>
    </row>
    <row r="7" spans="1:3" x14ac:dyDescent="0.35">
      <c r="A7" s="113"/>
      <c r="B7" s="15" t="s">
        <v>393</v>
      </c>
      <c r="C7" s="15" t="s">
        <v>394</v>
      </c>
    </row>
    <row r="8" spans="1:3" x14ac:dyDescent="0.35">
      <c r="A8" s="131"/>
      <c r="B8" s="15" t="s">
        <v>395</v>
      </c>
      <c r="C8" s="15" t="s">
        <v>396</v>
      </c>
    </row>
    <row r="9" spans="1:3" ht="43.5" x14ac:dyDescent="0.35">
      <c r="A9" s="112" t="s">
        <v>65</v>
      </c>
      <c r="B9" s="17" t="s">
        <v>397</v>
      </c>
      <c r="C9" s="15" t="s">
        <v>398</v>
      </c>
    </row>
    <row r="10" spans="1:3" ht="29" x14ac:dyDescent="0.35">
      <c r="A10" s="113"/>
      <c r="B10" s="17" t="s">
        <v>399</v>
      </c>
      <c r="C10" s="15" t="s">
        <v>400</v>
      </c>
    </row>
    <row r="11" spans="1:3" ht="43.5" x14ac:dyDescent="0.35">
      <c r="A11" s="113"/>
      <c r="B11" s="17" t="s">
        <v>401</v>
      </c>
      <c r="C11" s="15" t="s">
        <v>402</v>
      </c>
    </row>
    <row r="12" spans="1:3" ht="29" x14ac:dyDescent="0.35">
      <c r="A12" s="113"/>
      <c r="B12" s="17" t="s">
        <v>403</v>
      </c>
      <c r="C12" s="15" t="s">
        <v>404</v>
      </c>
    </row>
    <row r="13" spans="1:3" ht="43.5" x14ac:dyDescent="0.35">
      <c r="A13" s="113"/>
      <c r="B13" s="17" t="s">
        <v>405</v>
      </c>
      <c r="C13" s="15" t="s">
        <v>406</v>
      </c>
    </row>
    <row r="14" spans="1:3" x14ac:dyDescent="0.35">
      <c r="A14" s="113"/>
      <c r="B14" s="17" t="s">
        <v>407</v>
      </c>
      <c r="C14" s="15" t="s">
        <v>408</v>
      </c>
    </row>
    <row r="15" spans="1:3" ht="29" x14ac:dyDescent="0.35">
      <c r="A15" s="113"/>
      <c r="B15" s="17" t="s">
        <v>409</v>
      </c>
      <c r="C15" s="15" t="s">
        <v>410</v>
      </c>
    </row>
    <row r="16" spans="1:3" ht="29" x14ac:dyDescent="0.35">
      <c r="A16" s="113"/>
      <c r="B16" s="17" t="s">
        <v>411</v>
      </c>
      <c r="C16" s="15" t="s">
        <v>412</v>
      </c>
    </row>
    <row r="17" spans="1:3" ht="43.5" x14ac:dyDescent="0.35">
      <c r="A17" s="113"/>
      <c r="B17" s="17" t="s">
        <v>413</v>
      </c>
      <c r="C17" s="15" t="s">
        <v>414</v>
      </c>
    </row>
    <row r="18" spans="1:3" ht="29" x14ac:dyDescent="0.35">
      <c r="A18" s="113"/>
      <c r="B18" s="17" t="s">
        <v>415</v>
      </c>
      <c r="C18" s="15" t="s">
        <v>416</v>
      </c>
    </row>
    <row r="19" spans="1:3" ht="29" x14ac:dyDescent="0.35">
      <c r="A19" s="113"/>
      <c r="B19" s="17" t="s">
        <v>417</v>
      </c>
      <c r="C19" s="15" t="s">
        <v>418</v>
      </c>
    </row>
    <row r="20" spans="1:3" ht="29" x14ac:dyDescent="0.35">
      <c r="A20" s="113"/>
      <c r="B20" s="17" t="s">
        <v>419</v>
      </c>
      <c r="C20" s="15" t="s">
        <v>420</v>
      </c>
    </row>
    <row r="21" spans="1:3" ht="29" x14ac:dyDescent="0.35">
      <c r="A21" s="131"/>
      <c r="B21" s="17" t="s">
        <v>421</v>
      </c>
      <c r="C21" s="15" t="s">
        <v>422</v>
      </c>
    </row>
  </sheetData>
  <mergeCells count="3">
    <mergeCell ref="A2:A5"/>
    <mergeCell ref="A6:A8"/>
    <mergeCell ref="A9:A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A6E2-397C-4011-A5E6-BA7AF971BCDC}">
  <sheetPr>
    <tabColor rgb="FF0070C0"/>
  </sheetPr>
  <dimension ref="A1:C26"/>
  <sheetViews>
    <sheetView showGridLines="0" workbookViewId="0">
      <pane ySplit="1" topLeftCell="A2" activePane="bottomLeft" state="frozen"/>
      <selection pane="bottomLeft" activeCell="G5" sqref="G5"/>
    </sheetView>
  </sheetViews>
  <sheetFormatPr defaultColWidth="8.7265625" defaultRowHeight="14.5" x14ac:dyDescent="0.35"/>
  <cols>
    <col min="1" max="1" width="17.1796875" style="35" bestFit="1" customWidth="1"/>
    <col min="2" max="2" width="33.453125" style="35" customWidth="1"/>
    <col min="3" max="3" width="42.81640625" style="35" customWidth="1"/>
    <col min="4" max="16384" width="8.7265625" style="35"/>
  </cols>
  <sheetData>
    <row r="1" spans="1:3" s="99" customFormat="1" ht="20.149999999999999" customHeight="1" x14ac:dyDescent="0.35">
      <c r="A1" s="49" t="s">
        <v>13</v>
      </c>
      <c r="B1" s="49" t="s">
        <v>218</v>
      </c>
      <c r="C1" s="49" t="s">
        <v>219</v>
      </c>
    </row>
    <row r="2" spans="1:3" ht="43.5" x14ac:dyDescent="0.35">
      <c r="A2" s="147" t="s">
        <v>70</v>
      </c>
      <c r="B2" s="23" t="s">
        <v>423</v>
      </c>
      <c r="C2" s="15" t="s">
        <v>424</v>
      </c>
    </row>
    <row r="3" spans="1:3" ht="29" x14ac:dyDescent="0.35">
      <c r="A3" s="148"/>
      <c r="B3" s="23" t="s">
        <v>425</v>
      </c>
      <c r="C3" s="15" t="s">
        <v>426</v>
      </c>
    </row>
    <row r="4" spans="1:3" ht="101.5" x14ac:dyDescent="0.35">
      <c r="A4" s="148"/>
      <c r="B4" s="23" t="s">
        <v>427</v>
      </c>
      <c r="C4" s="15" t="s">
        <v>428</v>
      </c>
    </row>
    <row r="5" spans="1:3" ht="87" x14ac:dyDescent="0.35">
      <c r="A5" s="148"/>
      <c r="B5" s="23" t="s">
        <v>429</v>
      </c>
      <c r="C5" s="15" t="s">
        <v>430</v>
      </c>
    </row>
    <row r="6" spans="1:3" ht="58" x14ac:dyDescent="0.35">
      <c r="A6" s="148"/>
      <c r="B6" s="23" t="s">
        <v>431</v>
      </c>
      <c r="C6" s="15" t="s">
        <v>432</v>
      </c>
    </row>
    <row r="7" spans="1:3" ht="29" x14ac:dyDescent="0.35">
      <c r="A7" s="148"/>
      <c r="B7" s="23" t="s">
        <v>433</v>
      </c>
      <c r="C7" s="15" t="s">
        <v>434</v>
      </c>
    </row>
    <row r="8" spans="1:3" ht="29" x14ac:dyDescent="0.35">
      <c r="A8" s="148"/>
      <c r="B8" s="22" t="s">
        <v>435</v>
      </c>
      <c r="C8" s="15" t="s">
        <v>436</v>
      </c>
    </row>
    <row r="9" spans="1:3" ht="43.5" x14ac:dyDescent="0.35">
      <c r="A9" s="148"/>
      <c r="B9" s="90" t="s">
        <v>437</v>
      </c>
      <c r="C9" s="50" t="s">
        <v>438</v>
      </c>
    </row>
    <row r="10" spans="1:3" ht="43.5" x14ac:dyDescent="0.35">
      <c r="A10" s="148"/>
      <c r="B10" s="23" t="s">
        <v>439</v>
      </c>
      <c r="C10" s="15" t="s">
        <v>440</v>
      </c>
    </row>
    <row r="11" spans="1:3" ht="72.5" x14ac:dyDescent="0.35">
      <c r="A11" s="148"/>
      <c r="B11" s="22" t="s">
        <v>441</v>
      </c>
      <c r="C11" s="50" t="s">
        <v>442</v>
      </c>
    </row>
    <row r="12" spans="1:3" ht="43.5" x14ac:dyDescent="0.35">
      <c r="A12" s="112" t="s">
        <v>72</v>
      </c>
      <c r="B12" s="22" t="s">
        <v>443</v>
      </c>
      <c r="C12" s="15" t="s">
        <v>444</v>
      </c>
    </row>
    <row r="13" spans="1:3" ht="72.5" x14ac:dyDescent="0.35">
      <c r="A13" s="113"/>
      <c r="B13" s="22" t="s">
        <v>445</v>
      </c>
      <c r="C13" s="15" t="s">
        <v>446</v>
      </c>
    </row>
    <row r="14" spans="1:3" ht="29" x14ac:dyDescent="0.35">
      <c r="A14" s="113"/>
      <c r="B14" s="22" t="s">
        <v>447</v>
      </c>
      <c r="C14" s="15" t="s">
        <v>448</v>
      </c>
    </row>
    <row r="15" spans="1:3" ht="174" x14ac:dyDescent="0.35">
      <c r="A15" s="113"/>
      <c r="B15" s="22" t="s">
        <v>449</v>
      </c>
      <c r="C15" s="15" t="s">
        <v>450</v>
      </c>
    </row>
    <row r="16" spans="1:3" ht="87" x14ac:dyDescent="0.35">
      <c r="A16" s="113"/>
      <c r="B16" s="22" t="s">
        <v>451</v>
      </c>
      <c r="C16" s="15" t="s">
        <v>452</v>
      </c>
    </row>
    <row r="17" spans="1:3" ht="72.5" x14ac:dyDescent="0.35">
      <c r="A17" s="113"/>
      <c r="B17" s="22" t="s">
        <v>453</v>
      </c>
      <c r="C17" s="15" t="s">
        <v>454</v>
      </c>
    </row>
    <row r="18" spans="1:3" ht="43.5" x14ac:dyDescent="0.35">
      <c r="A18" s="113"/>
      <c r="B18" s="22" t="s">
        <v>455</v>
      </c>
      <c r="C18" s="15" t="s">
        <v>456</v>
      </c>
    </row>
    <row r="19" spans="1:3" ht="58" x14ac:dyDescent="0.35">
      <c r="A19" s="113"/>
      <c r="B19" s="22" t="s">
        <v>457</v>
      </c>
      <c r="C19" s="15" t="s">
        <v>458</v>
      </c>
    </row>
    <row r="20" spans="1:3" ht="72.5" x14ac:dyDescent="0.35">
      <c r="A20" s="113"/>
      <c r="B20" s="22" t="s">
        <v>459</v>
      </c>
      <c r="C20" s="15" t="s">
        <v>460</v>
      </c>
    </row>
    <row r="21" spans="1:3" ht="43.5" x14ac:dyDescent="0.35">
      <c r="A21" s="113"/>
      <c r="B21" s="22" t="s">
        <v>461</v>
      </c>
      <c r="C21" s="15" t="s">
        <v>462</v>
      </c>
    </row>
    <row r="22" spans="1:3" ht="43.5" x14ac:dyDescent="0.35">
      <c r="A22" s="113"/>
      <c r="B22" s="22" t="s">
        <v>463</v>
      </c>
      <c r="C22" s="15" t="s">
        <v>464</v>
      </c>
    </row>
    <row r="23" spans="1:3" ht="43.5" x14ac:dyDescent="0.35">
      <c r="A23" s="113"/>
      <c r="B23" s="22" t="s">
        <v>465</v>
      </c>
      <c r="C23" s="15" t="s">
        <v>466</v>
      </c>
    </row>
    <row r="24" spans="1:3" ht="43.5" x14ac:dyDescent="0.35">
      <c r="A24" s="113"/>
      <c r="B24" s="22" t="s">
        <v>467</v>
      </c>
      <c r="C24" s="15" t="s">
        <v>468</v>
      </c>
    </row>
    <row r="25" spans="1:3" ht="43.5" x14ac:dyDescent="0.35">
      <c r="A25" s="113"/>
      <c r="B25" s="22" t="s">
        <v>469</v>
      </c>
      <c r="C25" s="15" t="s">
        <v>470</v>
      </c>
    </row>
    <row r="26" spans="1:3" ht="43.5" x14ac:dyDescent="0.35">
      <c r="A26" s="131"/>
      <c r="B26" s="22" t="s">
        <v>471</v>
      </c>
      <c r="C26" s="15" t="s">
        <v>472</v>
      </c>
    </row>
  </sheetData>
  <mergeCells count="2">
    <mergeCell ref="A2:A11"/>
    <mergeCell ref="A12:A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0AE4-AAB1-4B74-9972-CB3D560B7694}">
  <sheetPr>
    <tabColor rgb="FF7030A0"/>
  </sheetPr>
  <dimension ref="A1:D19"/>
  <sheetViews>
    <sheetView showGridLines="0" workbookViewId="0">
      <pane ySplit="1" topLeftCell="A2" activePane="bottomLeft" state="frozen"/>
      <selection pane="bottomLeft" activeCell="F12" sqref="F12"/>
    </sheetView>
  </sheetViews>
  <sheetFormatPr defaultRowHeight="14.5" x14ac:dyDescent="0.35"/>
  <cols>
    <col min="1" max="1" width="32.54296875" bestFit="1" customWidth="1"/>
    <col min="2" max="2" width="33.453125" bestFit="1" customWidth="1"/>
    <col min="3" max="3" width="45.1796875" bestFit="1" customWidth="1"/>
    <col min="4" max="4" width="9.7265625" bestFit="1" customWidth="1"/>
  </cols>
  <sheetData>
    <row r="1" spans="1:4" s="41" customFormat="1" ht="21" customHeight="1" x14ac:dyDescent="0.35">
      <c r="A1" s="48" t="s">
        <v>97</v>
      </c>
      <c r="B1" s="48" t="s">
        <v>473</v>
      </c>
      <c r="C1" s="48" t="s">
        <v>474</v>
      </c>
      <c r="D1" s="48" t="s">
        <v>99</v>
      </c>
    </row>
    <row r="2" spans="1:4" x14ac:dyDescent="0.35">
      <c r="A2" s="42" t="s">
        <v>475</v>
      </c>
      <c r="B2" s="42" t="s">
        <v>476</v>
      </c>
      <c r="C2" s="42" t="s">
        <v>477</v>
      </c>
      <c r="D2" s="42">
        <v>2</v>
      </c>
    </row>
    <row r="3" spans="1:4" x14ac:dyDescent="0.35">
      <c r="A3" s="42" t="s">
        <v>475</v>
      </c>
      <c r="B3" s="42" t="s">
        <v>478</v>
      </c>
      <c r="C3" s="42" t="s">
        <v>479</v>
      </c>
      <c r="D3" s="42">
        <v>2</v>
      </c>
    </row>
    <row r="4" spans="1:4" x14ac:dyDescent="0.35">
      <c r="A4" s="42" t="s">
        <v>480</v>
      </c>
      <c r="B4" s="42" t="s">
        <v>481</v>
      </c>
      <c r="C4" s="42" t="s">
        <v>482</v>
      </c>
      <c r="D4" s="42">
        <v>2</v>
      </c>
    </row>
    <row r="5" spans="1:4" x14ac:dyDescent="0.35">
      <c r="A5" s="42" t="s">
        <v>480</v>
      </c>
      <c r="B5" s="42" t="s">
        <v>478</v>
      </c>
      <c r="C5" s="42" t="s">
        <v>483</v>
      </c>
      <c r="D5" s="42">
        <v>2</v>
      </c>
    </row>
    <row r="6" spans="1:4" x14ac:dyDescent="0.35">
      <c r="A6" s="42" t="s">
        <v>484</v>
      </c>
      <c r="B6" s="42" t="s">
        <v>476</v>
      </c>
      <c r="C6" s="42" t="s">
        <v>485</v>
      </c>
      <c r="D6" s="42">
        <v>2</v>
      </c>
    </row>
    <row r="7" spans="1:4" x14ac:dyDescent="0.35">
      <c r="A7" s="42" t="s">
        <v>484</v>
      </c>
      <c r="B7" s="42" t="s">
        <v>486</v>
      </c>
      <c r="C7" s="42" t="s">
        <v>487</v>
      </c>
      <c r="D7" s="42">
        <v>2</v>
      </c>
    </row>
    <row r="8" spans="1:4" x14ac:dyDescent="0.35">
      <c r="A8" s="42" t="s">
        <v>488</v>
      </c>
      <c r="B8" s="42" t="s">
        <v>478</v>
      </c>
      <c r="C8" s="42" t="s">
        <v>489</v>
      </c>
      <c r="D8" s="42">
        <v>2</v>
      </c>
    </row>
    <row r="9" spans="1:4" x14ac:dyDescent="0.35">
      <c r="A9" s="42" t="s">
        <v>488</v>
      </c>
      <c r="B9" s="42" t="s">
        <v>490</v>
      </c>
      <c r="C9" s="42" t="s">
        <v>491</v>
      </c>
      <c r="D9" s="42">
        <v>2</v>
      </c>
    </row>
    <row r="10" spans="1:4" x14ac:dyDescent="0.35">
      <c r="A10" s="150" t="s">
        <v>492</v>
      </c>
      <c r="B10" s="42" t="s">
        <v>493</v>
      </c>
      <c r="C10" s="42" t="s">
        <v>494</v>
      </c>
      <c r="D10" s="42">
        <v>2</v>
      </c>
    </row>
    <row r="11" spans="1:4" x14ac:dyDescent="0.35">
      <c r="A11" s="151"/>
      <c r="B11" s="42" t="s">
        <v>495</v>
      </c>
      <c r="C11" s="42" t="s">
        <v>494</v>
      </c>
      <c r="D11" s="42">
        <v>4</v>
      </c>
    </row>
    <row r="12" spans="1:4" x14ac:dyDescent="0.35">
      <c r="A12" s="43" t="s">
        <v>496</v>
      </c>
      <c r="B12" s="42" t="s">
        <v>490</v>
      </c>
      <c r="C12" s="42" t="s">
        <v>497</v>
      </c>
      <c r="D12" s="42">
        <v>2</v>
      </c>
    </row>
    <row r="13" spans="1:4" x14ac:dyDescent="0.35">
      <c r="A13" s="42" t="s">
        <v>127</v>
      </c>
      <c r="B13" s="42" t="s">
        <v>486</v>
      </c>
      <c r="C13" s="42" t="s">
        <v>498</v>
      </c>
      <c r="D13" s="42">
        <v>2</v>
      </c>
    </row>
    <row r="14" spans="1:4" x14ac:dyDescent="0.35">
      <c r="A14" s="42" t="s">
        <v>127</v>
      </c>
      <c r="B14" s="42" t="s">
        <v>478</v>
      </c>
      <c r="C14" s="42" t="s">
        <v>499</v>
      </c>
      <c r="D14" s="42">
        <v>2</v>
      </c>
    </row>
    <row r="15" spans="1:4" x14ac:dyDescent="0.35">
      <c r="A15" s="42" t="s">
        <v>500</v>
      </c>
      <c r="B15" s="42" t="s">
        <v>490</v>
      </c>
      <c r="C15" s="42" t="s">
        <v>491</v>
      </c>
      <c r="D15" s="42">
        <v>2</v>
      </c>
    </row>
    <row r="16" spans="1:4" x14ac:dyDescent="0.35">
      <c r="A16" s="42" t="s">
        <v>500</v>
      </c>
      <c r="B16" s="42" t="s">
        <v>490</v>
      </c>
      <c r="C16" s="42" t="s">
        <v>501</v>
      </c>
      <c r="D16" s="42">
        <v>2</v>
      </c>
    </row>
    <row r="17" spans="1:4" x14ac:dyDescent="0.35">
      <c r="A17" s="44" t="s">
        <v>502</v>
      </c>
      <c r="B17" s="42" t="s">
        <v>478</v>
      </c>
      <c r="C17" s="42" t="s">
        <v>503</v>
      </c>
      <c r="D17" s="42">
        <v>2</v>
      </c>
    </row>
    <row r="18" spans="1:4" x14ac:dyDescent="0.35">
      <c r="A18" s="150" t="s">
        <v>504</v>
      </c>
      <c r="B18" s="42" t="s">
        <v>505</v>
      </c>
      <c r="C18" s="42" t="s">
        <v>506</v>
      </c>
      <c r="D18" s="42">
        <v>2</v>
      </c>
    </row>
    <row r="19" spans="1:4" x14ac:dyDescent="0.35">
      <c r="A19" s="151"/>
      <c r="B19" s="42" t="s">
        <v>507</v>
      </c>
      <c r="C19" s="42" t="s">
        <v>508</v>
      </c>
      <c r="D19" s="42">
        <v>3</v>
      </c>
    </row>
  </sheetData>
  <mergeCells count="2">
    <mergeCell ref="A10:A11"/>
    <mergeCell ref="A18:A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6A18-C379-448E-82A8-FE7ED718523A}">
  <sheetPr>
    <tabColor rgb="FF92D050"/>
  </sheetPr>
  <dimension ref="A1:B5"/>
  <sheetViews>
    <sheetView showGridLines="0" workbookViewId="0">
      <pane ySplit="1" topLeftCell="A2" activePane="bottomLeft" state="frozen"/>
      <selection pane="bottomLeft" activeCell="E4" sqref="E4"/>
    </sheetView>
  </sheetViews>
  <sheetFormatPr defaultColWidth="9.1796875" defaultRowHeight="14.5" x14ac:dyDescent="0.35"/>
  <cols>
    <col min="1" max="1" width="38.7265625" style="35" customWidth="1"/>
    <col min="2" max="2" width="48.26953125" style="35" customWidth="1"/>
    <col min="3" max="16384" width="9.1796875" style="35"/>
  </cols>
  <sheetData>
    <row r="1" spans="1:2" s="41" customFormat="1" ht="20.149999999999999" customHeight="1" x14ac:dyDescent="0.35">
      <c r="A1" s="63" t="s">
        <v>509</v>
      </c>
      <c r="B1" s="63" t="s">
        <v>510</v>
      </c>
    </row>
    <row r="2" spans="1:2" ht="101.5" x14ac:dyDescent="0.35">
      <c r="A2" s="64" t="s">
        <v>511</v>
      </c>
      <c r="B2" s="64" t="s">
        <v>512</v>
      </c>
    </row>
    <row r="3" spans="1:2" ht="58" x14ac:dyDescent="0.35">
      <c r="A3" s="64" t="s">
        <v>513</v>
      </c>
      <c r="B3" s="64" t="s">
        <v>514</v>
      </c>
    </row>
    <row r="4" spans="1:2" ht="43.5" x14ac:dyDescent="0.35">
      <c r="A4" s="64" t="s">
        <v>515</v>
      </c>
      <c r="B4" s="64" t="s">
        <v>516</v>
      </c>
    </row>
    <row r="5" spans="1:2" ht="101.5" x14ac:dyDescent="0.35">
      <c r="A5" s="64" t="s">
        <v>517</v>
      </c>
      <c r="B5" s="64" t="s">
        <v>518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36A16-4325-4BD9-ACFD-1E5C4BFB007B}">
  <sheetPr>
    <tabColor theme="5" tint="-0.249977111117893"/>
  </sheetPr>
  <dimension ref="A1:B17"/>
  <sheetViews>
    <sheetView showGridLines="0" workbookViewId="0">
      <pane ySplit="1" topLeftCell="A5" activePane="bottomLeft" state="frozen"/>
      <selection pane="bottomLeft" activeCell="G8" sqref="G8"/>
    </sheetView>
  </sheetViews>
  <sheetFormatPr defaultColWidth="9.1796875" defaultRowHeight="14.5" x14ac:dyDescent="0.35"/>
  <cols>
    <col min="1" max="1" width="39.7265625" style="35" customWidth="1"/>
    <col min="2" max="2" width="40" style="35" customWidth="1"/>
    <col min="3" max="16384" width="9.1796875" style="35"/>
  </cols>
  <sheetData>
    <row r="1" spans="1:2" ht="15.5" x14ac:dyDescent="0.35">
      <c r="A1" s="104" t="s">
        <v>519</v>
      </c>
      <c r="B1" s="105" t="s">
        <v>520</v>
      </c>
    </row>
    <row r="2" spans="1:2" ht="29" x14ac:dyDescent="0.35">
      <c r="A2" s="106" t="s">
        <v>521</v>
      </c>
      <c r="B2" s="107" t="s">
        <v>522</v>
      </c>
    </row>
    <row r="3" spans="1:2" x14ac:dyDescent="0.35">
      <c r="A3" s="108" t="s">
        <v>523</v>
      </c>
      <c r="B3" s="107" t="s">
        <v>524</v>
      </c>
    </row>
    <row r="4" spans="1:2" x14ac:dyDescent="0.35">
      <c r="A4" s="108" t="s">
        <v>525</v>
      </c>
      <c r="B4" s="107" t="s">
        <v>526</v>
      </c>
    </row>
    <row r="5" spans="1:2" x14ac:dyDescent="0.35">
      <c r="A5" s="152" t="s">
        <v>527</v>
      </c>
      <c r="B5" s="109" t="s">
        <v>528</v>
      </c>
    </row>
    <row r="6" spans="1:2" x14ac:dyDescent="0.35">
      <c r="A6" s="152"/>
      <c r="B6" s="109" t="s">
        <v>529</v>
      </c>
    </row>
    <row r="7" spans="1:2" x14ac:dyDescent="0.35">
      <c r="A7" s="152"/>
      <c r="B7" s="109" t="s">
        <v>530</v>
      </c>
    </row>
    <row r="8" spans="1:2" x14ac:dyDescent="0.35">
      <c r="A8" s="152"/>
      <c r="B8" s="109" t="s">
        <v>531</v>
      </c>
    </row>
    <row r="9" spans="1:2" x14ac:dyDescent="0.35">
      <c r="A9" s="153"/>
      <c r="B9" s="107" t="s">
        <v>532</v>
      </c>
    </row>
    <row r="10" spans="1:2" x14ac:dyDescent="0.35">
      <c r="A10" s="154" t="s">
        <v>533</v>
      </c>
      <c r="B10" s="109" t="s">
        <v>534</v>
      </c>
    </row>
    <row r="11" spans="1:2" x14ac:dyDescent="0.35">
      <c r="A11" s="154"/>
      <c r="B11" s="109" t="s">
        <v>535</v>
      </c>
    </row>
    <row r="12" spans="1:2" x14ac:dyDescent="0.35">
      <c r="A12" s="154"/>
      <c r="B12" s="109" t="s">
        <v>536</v>
      </c>
    </row>
    <row r="13" spans="1:2" x14ac:dyDescent="0.35">
      <c r="A13" s="155"/>
      <c r="B13" s="107" t="s">
        <v>537</v>
      </c>
    </row>
    <row r="14" spans="1:2" x14ac:dyDescent="0.35">
      <c r="A14" s="154" t="s">
        <v>538</v>
      </c>
      <c r="B14" s="109" t="s">
        <v>539</v>
      </c>
    </row>
    <row r="15" spans="1:2" x14ac:dyDescent="0.35">
      <c r="A15" s="154"/>
      <c r="B15" s="109" t="s">
        <v>540</v>
      </c>
    </row>
    <row r="16" spans="1:2" x14ac:dyDescent="0.35">
      <c r="A16" s="154"/>
      <c r="B16" s="109" t="s">
        <v>541</v>
      </c>
    </row>
    <row r="17" spans="1:2" x14ac:dyDescent="0.35">
      <c r="A17" s="155"/>
      <c r="B17" s="107" t="s">
        <v>542</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2ca28dbaed6c4a3d43db6e086be5bbf5">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12ee1aac5926e530e9c10fdea85ece34"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EE10D6-4EE4-4012-98AC-2998D7C3A14E}">
  <ds:schemaRefs>
    <ds:schemaRef ds:uri="http://schemas.microsoft.com/sharepoint/v3/contenttype/forms"/>
  </ds:schemaRefs>
</ds:datastoreItem>
</file>

<file path=customXml/itemProps2.xml><?xml version="1.0" encoding="utf-8"?>
<ds:datastoreItem xmlns:ds="http://schemas.openxmlformats.org/officeDocument/2006/customXml" ds:itemID="{7C22D67F-20D5-4B35-BF9D-78C3914A3958}">
  <ds:schemaRefs>
    <ds:schemaRef ds:uri="http://www.w3.org/XML/1998/namespace"/>
    <ds:schemaRef ds:uri="http://schemas.microsoft.com/office/2006/documentManagement/types"/>
    <ds:schemaRef ds:uri="3c35e321-f73a-4dae-ae38-a0459de24735"/>
    <ds:schemaRef ds:uri="http://schemas.openxmlformats.org/package/2006/metadata/core-properties"/>
    <ds:schemaRef ds:uri="http://schemas.microsoft.com/office/infopath/2007/PartnerControls"/>
    <ds:schemaRef ds:uri="c6f516c4-2602-422c-aa9a-755893ba4f98"/>
    <ds:schemaRef ds:uri="http://purl.org/dc/dcmitype/"/>
    <ds:schemaRef ds:uri="951c5514-b77c-4532-82d5-a05f2f7d58e2"/>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756F5D6E-817B-4D4D-AC53-FA02260DA9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Module List</vt:lpstr>
      <vt:lpstr>Dev-Led View</vt:lpstr>
      <vt:lpstr>Skill Framework</vt:lpstr>
      <vt:lpstr>Performance Outcomes</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Senthilnathan, Shushanth Babyrani (Cognizant)</cp:lastModifiedBy>
  <cp:revision/>
  <dcterms:created xsi:type="dcterms:W3CDTF">2023-10-16T02:04:19Z</dcterms:created>
  <dcterms:modified xsi:type="dcterms:W3CDTF">2026-05-22T11:40:32Z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